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1555F942-C211-4A14-A8AB-2FBACAA8F928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Gantt BDP" sheetId="1" r:id="rId1"/>
    <sheet name="Datos Gráfico" sheetId="2" r:id="rId2"/>
  </sheets>
  <calcPr calcId="0"/>
</workbook>
</file>

<file path=xl/sharedStrings.xml><?xml version="1.0" encoding="utf-8"?>
<sst xmlns="http://schemas.openxmlformats.org/spreadsheetml/2006/main" count="258" uniqueCount="175">
  <si>
    <t>DIAGRAMA DE GANTT — PROYECTO BDP S.A.M. | Digitalización Proceso Crediticio PYME y Banca Empresa</t>
  </si>
  <si>
    <t>ID</t>
  </si>
  <si>
    <t>Actividad / Tarea</t>
  </si>
  <si>
    <t>Responsable</t>
  </si>
  <si>
    <t>Inicio</t>
  </si>
  <si>
    <t>Fin</t>
  </si>
  <si>
    <t>06/04</t>
  </si>
  <si>
    <t>13/04</t>
  </si>
  <si>
    <t>20/04</t>
  </si>
  <si>
    <t>27/04</t>
  </si>
  <si>
    <t>04/05</t>
  </si>
  <si>
    <t>11/05</t>
  </si>
  <si>
    <t>18/05</t>
  </si>
  <si>
    <t>25/05</t>
  </si>
  <si>
    <t>01/06</t>
  </si>
  <si>
    <t>08/06</t>
  </si>
  <si>
    <t>15/06</t>
  </si>
  <si>
    <t>22/06</t>
  </si>
  <si>
    <t>29/06</t>
  </si>
  <si>
    <t>06/07</t>
  </si>
  <si>
    <t>13/07</t>
  </si>
  <si>
    <t>20/07</t>
  </si>
  <si>
    <t>27/07</t>
  </si>
  <si>
    <t>03/08</t>
  </si>
  <si>
    <t>10/08</t>
  </si>
  <si>
    <t>17/08</t>
  </si>
  <si>
    <t>24/08</t>
  </si>
  <si>
    <t>31/08</t>
  </si>
  <si>
    <t>07/09</t>
  </si>
  <si>
    <t>14/09</t>
  </si>
  <si>
    <t>21/09</t>
  </si>
  <si>
    <t>28/09</t>
  </si>
  <si>
    <t>05/10</t>
  </si>
  <si>
    <t>12/10</t>
  </si>
  <si>
    <t>19/10</t>
  </si>
  <si>
    <t>26/10</t>
  </si>
  <si>
    <t>02/11</t>
  </si>
  <si>
    <t>09/11</t>
  </si>
  <si>
    <t>16/11</t>
  </si>
  <si>
    <t>23/11</t>
  </si>
  <si>
    <t>30/11</t>
  </si>
  <si>
    <t>07/12</t>
  </si>
  <si>
    <t>14/12</t>
  </si>
  <si>
    <t>21/12</t>
  </si>
  <si>
    <t>28/12</t>
  </si>
  <si>
    <t>04/01</t>
  </si>
  <si>
    <t>11/01</t>
  </si>
  <si>
    <t>18/01</t>
  </si>
  <si>
    <t>25/01</t>
  </si>
  <si>
    <t>01/02</t>
  </si>
  <si>
    <t>08/02</t>
  </si>
  <si>
    <t>15/02</t>
  </si>
  <si>
    <t>22/02</t>
  </si>
  <si>
    <t>01/03</t>
  </si>
  <si>
    <t>08/03</t>
  </si>
  <si>
    <t>15/03</t>
  </si>
  <si>
    <t>22/03</t>
  </si>
  <si>
    <t>29/03</t>
  </si>
  <si>
    <t>05/04</t>
  </si>
  <si>
    <t>FASE 1 — Análisis y Diseño</t>
  </si>
  <si>
    <t>1.1</t>
  </si>
  <si>
    <t>Levantamiento de requerimientos</t>
  </si>
  <si>
    <t>Miguel A. Chura + Equipo</t>
  </si>
  <si>
    <t>06/04/2026</t>
  </si>
  <si>
    <t>24/04/2026</t>
  </si>
  <si>
    <t>1.2</t>
  </si>
  <si>
    <t>Análisis proceso crediticio actual</t>
  </si>
  <si>
    <t>10/04/2026</t>
  </si>
  <si>
    <t>08/05/2026</t>
  </si>
  <si>
    <t>1.3</t>
  </si>
  <si>
    <t>Diseño de formularios y estructura</t>
  </si>
  <si>
    <t>22/05/2026</t>
  </si>
  <si>
    <t>1.4</t>
  </si>
  <si>
    <t>Definición de flujos de trabajo</t>
  </si>
  <si>
    <t>Equipo completo</t>
  </si>
  <si>
    <t>01/05/2026</t>
  </si>
  <si>
    <t>27/05/2026</t>
  </si>
  <si>
    <t>H1</t>
  </si>
  <si>
    <t>HITO: Aprobación del Plan</t>
  </si>
  <si>
    <t>Miguel A. Chura (PM) + BDP</t>
  </si>
  <si>
    <t>29/05/2026</t>
  </si>
  <si>
    <t>◆</t>
  </si>
  <si>
    <t>FASE 2 — Desarrollo e Integración</t>
  </si>
  <si>
    <t>2.1</t>
  </si>
  <si>
    <t>HU-01 Login y roles (G1)</t>
  </si>
  <si>
    <t>Roger Huarachi &amp; Kevin Rocha</t>
  </si>
  <si>
    <t>01/06/2026</t>
  </si>
  <si>
    <t>07/08/2026</t>
  </si>
  <si>
    <t>2.2</t>
  </si>
  <si>
    <t>HU-04 Checklist documentos (G1)</t>
  </si>
  <si>
    <t>19/06/2026</t>
  </si>
  <si>
    <t>04/09/2026</t>
  </si>
  <si>
    <t>2.3</t>
  </si>
  <si>
    <t>HU-07 Scoring crediticio (G1)</t>
  </si>
  <si>
    <t>31/07/2026</t>
  </si>
  <si>
    <t>09/10/2026</t>
  </si>
  <si>
    <t>2.4</t>
  </si>
  <si>
    <t>HU-02 Auditoría WORM (G2)</t>
  </si>
  <si>
    <t>Abigail Arratia &amp; Beymar Castillo</t>
  </si>
  <si>
    <t>14/08/2026</t>
  </si>
  <si>
    <t>2.5</t>
  </si>
  <si>
    <t>HU-05 Hato ganadero (G2)</t>
  </si>
  <si>
    <t>26/06/2026</t>
  </si>
  <si>
    <t>18/09/2026</t>
  </si>
  <si>
    <t>2.6</t>
  </si>
  <si>
    <t>HU-08 CORE bancario API (G2)</t>
  </si>
  <si>
    <t>14/10/2026</t>
  </si>
  <si>
    <t>2.7</t>
  </si>
  <si>
    <t>HU-03 Carga documentos (G3)</t>
  </si>
  <si>
    <t>Norma Mendoza &amp; Miguel Chura</t>
  </si>
  <si>
    <t>2.8</t>
  </si>
  <si>
    <t>HU-06 Simulación agrícola (G3)</t>
  </si>
  <si>
    <t>10/07/2026</t>
  </si>
  <si>
    <t>25/09/2026</t>
  </si>
  <si>
    <t>2.9</t>
  </si>
  <si>
    <t>HU-09 Modo offline (G3)</t>
  </si>
  <si>
    <t>2.10</t>
  </si>
  <si>
    <t>HU-10 Reportes PDF/Excel (G3)</t>
  </si>
  <si>
    <t>21/08/2026</t>
  </si>
  <si>
    <t>H2</t>
  </si>
  <si>
    <t>HITO: Entrega 2 — Bs. 175.000</t>
  </si>
  <si>
    <t>16/10/2026</t>
  </si>
  <si>
    <t>FASE 3 — Pruebas y Validación (SandBox)</t>
  </si>
  <si>
    <t>3.1</t>
  </si>
  <si>
    <t>Pruebas funcionales — Grupo 1</t>
  </si>
  <si>
    <t>19/10/2026</t>
  </si>
  <si>
    <t>08/01/2027</t>
  </si>
  <si>
    <t>3.2</t>
  </si>
  <si>
    <t>Pruebas funcionales — Grupo 2</t>
  </si>
  <si>
    <t>23/10/2026</t>
  </si>
  <si>
    <t>22/01/2027</t>
  </si>
  <si>
    <t>3.3</t>
  </si>
  <si>
    <t>Pruebas funcionales — Grupo 3</t>
  </si>
  <si>
    <t>28/10/2026</t>
  </si>
  <si>
    <t>29/01/2027</t>
  </si>
  <si>
    <t>3.4</t>
  </si>
  <si>
    <t>Validación cálculos financieros</t>
  </si>
  <si>
    <t>Miguel A. Chura + Analistas</t>
  </si>
  <si>
    <t>13/11/2026</t>
  </si>
  <si>
    <t>19/02/2027</t>
  </si>
  <si>
    <t>3.5</t>
  </si>
  <si>
    <t>Capacitación inicial SandBox</t>
  </si>
  <si>
    <t>03/03/2027</t>
  </si>
  <si>
    <t>H3</t>
  </si>
  <si>
    <t>HITO: Entrega 3 — Bs. 125.000</t>
  </si>
  <si>
    <t>05/03/2027</t>
  </si>
  <si>
    <t>FASE 4 — Implementación y Producción</t>
  </si>
  <si>
    <t>4.1</t>
  </si>
  <si>
    <t>Go-live y monitoreo inicial</t>
  </si>
  <si>
    <t>08/03/2027</t>
  </si>
  <si>
    <t>26/03/2027</t>
  </si>
  <si>
    <t>4.2</t>
  </si>
  <si>
    <t>Ajustes finales</t>
  </si>
  <si>
    <t>17/03/2027</t>
  </si>
  <si>
    <t>31/03/2027</t>
  </si>
  <si>
    <t>4.3</t>
  </si>
  <si>
    <t>Transferencia tecnológica + docs</t>
  </si>
  <si>
    <t>19/03/2027</t>
  </si>
  <si>
    <t>02/04/2027</t>
  </si>
  <si>
    <t>H4</t>
  </si>
  <si>
    <t>HITO: Entrega Final — Bs. 100.000</t>
  </si>
  <si>
    <t>Leyenda:</t>
  </si>
  <si>
    <t>Tarea crítica</t>
  </si>
  <si>
    <t>Tarea normal</t>
  </si>
  <si>
    <t>Hito de entrega</t>
  </si>
  <si>
    <t>Fase</t>
  </si>
  <si>
    <t>Actividad</t>
  </si>
  <si>
    <t>Offset (días)</t>
  </si>
  <si>
    <t>Duración (días)</t>
  </si>
  <si>
    <t>Tipo</t>
  </si>
  <si>
    <t>task</t>
  </si>
  <si>
    <t>normal</t>
  </si>
  <si>
    <t>hito</t>
  </si>
  <si>
    <t>Miguel  + Norma Mendoza</t>
  </si>
  <si>
    <t>Abigail + Beymar Castillo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</si>
</sst>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9"/>
      <color rgb="FFFFFFFF"/>
      <name val="Arial"/>
    </font>
    <font>
      <b/>
      <sz val="8"/>
      <color rgb="FFFFFFFF"/>
      <name val="Arial"/>
    </font>
    <font>
      <sz val="9"/>
      <color rgb="FF000000"/>
      <name val="Arial"/>
    </font>
    <font>
      <b/>
      <sz val="9"/>
      <color rgb="FF000000"/>
      <name val="Arial"/>
    </font>
    <font>
      <b/>
      <sz val="10"/>
      <color rgb="FF000000"/>
      <name val="Arial"/>
    </font>
    <font>
      <u/>
      <sz val="9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EBF3FB"/>
      </patternFill>
    </fill>
    <fill>
      <patternFill patternType="solid">
        <fgColor rgb="FFC00000"/>
      </patternFill>
    </fill>
    <fill>
      <patternFill patternType="solid">
        <fgColor rgb="FFFFFFFF"/>
      </patternFill>
    </fill>
    <fill>
      <patternFill patternType="solid">
        <fgColor rgb="FFFFB9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0" fillId="2" borderId="1" xfId="0" applyFill="1" applyBorder="1"/>
    <xf numFmtId="0" fontId="0" fillId="4" borderId="1" xfId="0" applyFill="1" applyBorder="1"/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0" fillId="6" borderId="1" xfId="0" applyFill="1" applyBorder="1"/>
    <xf numFmtId="0" fontId="0" fillId="5" borderId="1" xfId="0" applyFill="1" applyBorder="1"/>
    <xf numFmtId="0" fontId="4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 wrapText="1"/>
    </xf>
    <xf numFmtId="0" fontId="0" fillId="7" borderId="1" xfId="0" applyFill="1" applyBorder="1"/>
    <xf numFmtId="0" fontId="0" fillId="3" borderId="1" xfId="0" applyFill="1" applyBorder="1"/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 wrapText="1"/>
    </xf>
    <xf numFmtId="0" fontId="5" fillId="0" borderId="0" xfId="0" applyFont="1"/>
    <xf numFmtId="0" fontId="4" fillId="0" borderId="0" xfId="0" applyFont="1"/>
    <xf numFmtId="0" fontId="0" fillId="8" borderId="1" xfId="0" applyFill="1" applyBorder="1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7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7403076010430115E-3"/>
          <c:y val="2.3181027730947417E-2"/>
          <c:w val="0.97815455558622943"/>
          <c:h val="0.95725853529002525"/>
        </c:manualLayout>
      </c:layout>
      <c:barChart>
        <c:barDir val="bar"/>
        <c:grouping val="stacked"/>
        <c:varyColors val="1"/>
        <c:ser>
          <c:idx val="0"/>
          <c:order val="0"/>
          <c:tx>
            <c:strRef>
              <c:f>'Datos Gráfico'!$B$1</c:f>
              <c:strCache>
                <c:ptCount val="1"/>
                <c:pt idx="0">
                  <c:v>Offset (días)</c:v>
                </c:pt>
              </c:strCache>
            </c:strRef>
          </c:tx>
          <c:spPr>
            <a:solidFill>
              <a:srgbClr val="FFFFFF"/>
            </a:solidFill>
            <a:ln>
              <a:solidFill>
                <a:schemeClr val="bg1"/>
              </a:solidFill>
            </a:ln>
            <a:effectLst/>
          </c:spPr>
          <c:invertIfNegative val="1"/>
          <c:dLbls>
            <c:delete val="1"/>
          </c:dLbls>
          <c:cat>
            <c:strRef>
              <c:f>'Datos Gráfico'!$A$2:$A$27</c:f>
              <c:strCache>
                <c:ptCount val="26"/>
                <c:pt idx="0">
                  <c:v>Levantamiento de requerimientos</c:v>
                </c:pt>
                <c:pt idx="1">
                  <c:v>Análisis proceso crediticio actual</c:v>
                </c:pt>
                <c:pt idx="2">
                  <c:v>Diseño de formularios y estructura</c:v>
                </c:pt>
                <c:pt idx="3">
                  <c:v>Definición de flujos de trabajo</c:v>
                </c:pt>
                <c:pt idx="4">
                  <c:v>HITO: Aprobación del Plan</c:v>
                </c:pt>
                <c:pt idx="5">
                  <c:v>HU-01 Login y roles (G1)</c:v>
                </c:pt>
                <c:pt idx="6">
                  <c:v>HU-04 Checklist documentos (G1)</c:v>
                </c:pt>
                <c:pt idx="7">
                  <c:v>HU-07 Scoring crediticio (G1)</c:v>
                </c:pt>
                <c:pt idx="8">
                  <c:v>HU-02 Auditoría WORM (G2)</c:v>
                </c:pt>
                <c:pt idx="9">
                  <c:v>HU-05 Hato ganadero (G2)</c:v>
                </c:pt>
                <c:pt idx="10">
                  <c:v>HU-08 CORE bancario API (G2)</c:v>
                </c:pt>
                <c:pt idx="11">
                  <c:v>HU-03 Carga documentos (G3)</c:v>
                </c:pt>
                <c:pt idx="12">
                  <c:v>HU-06 Simulación agrícola (G3)</c:v>
                </c:pt>
                <c:pt idx="13">
                  <c:v>HU-09 Modo offline (G3)</c:v>
                </c:pt>
                <c:pt idx="14">
                  <c:v>HU-10 Reportes PDF/Excel (G3)</c:v>
                </c:pt>
                <c:pt idx="15">
                  <c:v>HITO: Entrega 2 — Bs. 175.000</c:v>
                </c:pt>
                <c:pt idx="16">
                  <c:v>Pruebas funcionales — Grupo 1</c:v>
                </c:pt>
                <c:pt idx="17">
                  <c:v>Pruebas funcionales — Grupo 2</c:v>
                </c:pt>
                <c:pt idx="18">
                  <c:v>Pruebas funcionales — Grupo 3</c:v>
                </c:pt>
                <c:pt idx="19">
                  <c:v>Validación cálculos financieros</c:v>
                </c:pt>
                <c:pt idx="20">
                  <c:v>Capacitación inicial SandBox</c:v>
                </c:pt>
                <c:pt idx="21">
                  <c:v>HITO: Entrega 3 — Bs. 125.000</c:v>
                </c:pt>
                <c:pt idx="22">
                  <c:v>Go-live y monitoreo inicial</c:v>
                </c:pt>
                <c:pt idx="23">
                  <c:v>Ajustes finales</c:v>
                </c:pt>
                <c:pt idx="24">
                  <c:v>Transferencia tecnológica + docs</c:v>
                </c:pt>
                <c:pt idx="25">
                  <c:v>HITO: Entrega Final — Bs. 100.000</c:v>
                </c:pt>
              </c:strCache>
            </c:strRef>
          </c:cat>
          <c:val>
            <c:numRef>
              <c:f>'Datos Gráfico'!$B$2:$B$27</c:f>
              <c:numCache>
                <c:formatCode>General</c:formatCode>
                <c:ptCount val="26"/>
                <c:pt idx="0">
                  <c:v>0</c:v>
                </c:pt>
                <c:pt idx="1">
                  <c:v>4</c:v>
                </c:pt>
                <c:pt idx="2">
                  <c:v>14</c:v>
                </c:pt>
                <c:pt idx="3">
                  <c:v>19</c:v>
                </c:pt>
                <c:pt idx="4">
                  <c:v>39</c:v>
                </c:pt>
                <c:pt idx="5">
                  <c:v>40</c:v>
                </c:pt>
                <c:pt idx="6">
                  <c:v>54</c:v>
                </c:pt>
                <c:pt idx="7">
                  <c:v>84</c:v>
                </c:pt>
                <c:pt idx="8">
                  <c:v>40</c:v>
                </c:pt>
                <c:pt idx="9">
                  <c:v>59</c:v>
                </c:pt>
                <c:pt idx="10">
                  <c:v>89</c:v>
                </c:pt>
                <c:pt idx="11">
                  <c:v>40</c:v>
                </c:pt>
                <c:pt idx="12">
                  <c:v>69</c:v>
                </c:pt>
                <c:pt idx="13">
                  <c:v>94</c:v>
                </c:pt>
                <c:pt idx="14">
                  <c:v>99</c:v>
                </c:pt>
                <c:pt idx="15">
                  <c:v>139</c:v>
                </c:pt>
                <c:pt idx="16">
                  <c:v>140</c:v>
                </c:pt>
                <c:pt idx="17">
                  <c:v>144</c:v>
                </c:pt>
                <c:pt idx="18">
                  <c:v>147</c:v>
                </c:pt>
                <c:pt idx="19">
                  <c:v>159</c:v>
                </c:pt>
                <c:pt idx="20">
                  <c:v>199</c:v>
                </c:pt>
                <c:pt idx="21">
                  <c:v>239</c:v>
                </c:pt>
                <c:pt idx="22">
                  <c:v>240</c:v>
                </c:pt>
                <c:pt idx="23">
                  <c:v>247</c:v>
                </c:pt>
                <c:pt idx="24">
                  <c:v>249</c:v>
                </c:pt>
                <c:pt idx="25">
                  <c:v>259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chemeClr val="bg1"/>
                    </a:solidFill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7774-4016-AB2E-E8E73F53E794}"/>
            </c:ext>
          </c:extLst>
        </c:ser>
        <c:ser>
          <c:idx val="1"/>
          <c:order val="1"/>
          <c:tx>
            <c:strRef>
              <c:f>'Datos Gráfico'!$C$1</c:f>
              <c:strCache>
                <c:ptCount val="1"/>
                <c:pt idx="0">
                  <c:v>Duración (días)</c:v>
                </c:pt>
              </c:strCache>
            </c:strRef>
          </c:tx>
          <c:spPr>
            <a:solidFill>
              <a:srgbClr val="F79646"/>
            </a:solidFill>
            <a:ln>
              <a:noFill/>
            </a:ln>
            <a:effectLst/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'Datos Gráfico'!$A$2:$A$27</c:f>
              <c:strCache>
                <c:ptCount val="26"/>
                <c:pt idx="0">
                  <c:v>Levantamiento de requerimientos</c:v>
                </c:pt>
                <c:pt idx="1">
                  <c:v>Análisis proceso crediticio actual</c:v>
                </c:pt>
                <c:pt idx="2">
                  <c:v>Diseño de formularios y estructura</c:v>
                </c:pt>
                <c:pt idx="3">
                  <c:v>Definición de flujos de trabajo</c:v>
                </c:pt>
                <c:pt idx="4">
                  <c:v>HITO: Aprobación del Plan</c:v>
                </c:pt>
                <c:pt idx="5">
                  <c:v>HU-01 Login y roles (G1)</c:v>
                </c:pt>
                <c:pt idx="6">
                  <c:v>HU-04 Checklist documentos (G1)</c:v>
                </c:pt>
                <c:pt idx="7">
                  <c:v>HU-07 Scoring crediticio (G1)</c:v>
                </c:pt>
                <c:pt idx="8">
                  <c:v>HU-02 Auditoría WORM (G2)</c:v>
                </c:pt>
                <c:pt idx="9">
                  <c:v>HU-05 Hato ganadero (G2)</c:v>
                </c:pt>
                <c:pt idx="10">
                  <c:v>HU-08 CORE bancario API (G2)</c:v>
                </c:pt>
                <c:pt idx="11">
                  <c:v>HU-03 Carga documentos (G3)</c:v>
                </c:pt>
                <c:pt idx="12">
                  <c:v>HU-06 Simulación agrícola (G3)</c:v>
                </c:pt>
                <c:pt idx="13">
                  <c:v>HU-09 Modo offline (G3)</c:v>
                </c:pt>
                <c:pt idx="14">
                  <c:v>HU-10 Reportes PDF/Excel (G3)</c:v>
                </c:pt>
                <c:pt idx="15">
                  <c:v>HITO: Entrega 2 — Bs. 175.000</c:v>
                </c:pt>
                <c:pt idx="16">
                  <c:v>Pruebas funcionales — Grupo 1</c:v>
                </c:pt>
                <c:pt idx="17">
                  <c:v>Pruebas funcionales — Grupo 2</c:v>
                </c:pt>
                <c:pt idx="18">
                  <c:v>Pruebas funcionales — Grupo 3</c:v>
                </c:pt>
                <c:pt idx="19">
                  <c:v>Validación cálculos financieros</c:v>
                </c:pt>
                <c:pt idx="20">
                  <c:v>Capacitación inicial SandBox</c:v>
                </c:pt>
                <c:pt idx="21">
                  <c:v>HITO: Entrega 3 — Bs. 125.000</c:v>
                </c:pt>
                <c:pt idx="22">
                  <c:v>Go-live y monitoreo inicial</c:v>
                </c:pt>
                <c:pt idx="23">
                  <c:v>Ajustes finales</c:v>
                </c:pt>
                <c:pt idx="24">
                  <c:v>Transferencia tecnológica + docs</c:v>
                </c:pt>
                <c:pt idx="25">
                  <c:v>HITO: Entrega Final — Bs. 100.000</c:v>
                </c:pt>
              </c:strCache>
            </c:strRef>
          </c:cat>
          <c:val>
            <c:numRef>
              <c:f>'Datos Gráfico'!$C$2:$C$27</c:f>
              <c:numCache>
                <c:formatCode>General</c:formatCode>
                <c:ptCount val="26"/>
                <c:pt idx="0">
                  <c:v>15</c:v>
                </c:pt>
                <c:pt idx="1">
                  <c:v>21</c:v>
                </c:pt>
                <c:pt idx="2">
                  <c:v>21</c:v>
                </c:pt>
                <c:pt idx="3">
                  <c:v>19</c:v>
                </c:pt>
                <c:pt idx="4">
                  <c:v>1</c:v>
                </c:pt>
                <c:pt idx="5">
                  <c:v>50</c:v>
                </c:pt>
                <c:pt idx="6">
                  <c:v>56</c:v>
                </c:pt>
                <c:pt idx="7">
                  <c:v>51</c:v>
                </c:pt>
                <c:pt idx="8">
                  <c:v>55</c:v>
                </c:pt>
                <c:pt idx="9">
                  <c:v>61</c:v>
                </c:pt>
                <c:pt idx="10">
                  <c:v>49</c:v>
                </c:pt>
                <c:pt idx="11">
                  <c:v>45</c:v>
                </c:pt>
                <c:pt idx="12">
                  <c:v>56</c:v>
                </c:pt>
                <c:pt idx="13">
                  <c:v>44</c:v>
                </c:pt>
                <c:pt idx="14">
                  <c:v>39</c:v>
                </c:pt>
                <c:pt idx="15">
                  <c:v>1</c:v>
                </c:pt>
                <c:pt idx="16">
                  <c:v>60</c:v>
                </c:pt>
                <c:pt idx="17">
                  <c:v>66</c:v>
                </c:pt>
                <c:pt idx="18">
                  <c:v>68</c:v>
                </c:pt>
                <c:pt idx="19">
                  <c:v>71</c:v>
                </c:pt>
                <c:pt idx="20">
                  <c:v>39</c:v>
                </c:pt>
                <c:pt idx="21">
                  <c:v>1</c:v>
                </c:pt>
                <c:pt idx="22">
                  <c:v>15</c:v>
                </c:pt>
                <c:pt idx="23">
                  <c:v>11</c:v>
                </c:pt>
                <c:pt idx="24">
                  <c:v>11</c:v>
                </c:pt>
                <c:pt idx="25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1-7774-4016-AB2E-E8E73F53E79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axMin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tx1">
                      <a:lumMod val="5000"/>
                      <a:lumOff val="95000"/>
                    </a:schemeClr>
                  </a:gs>
                  <a:gs pos="10000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cat>
            <c:strRef>
              <c:f>'Datos Gráfico'!$A$2:$A$27</c:f>
              <c:strCache>
                <c:ptCount val="26"/>
                <c:pt idx="0">
                  <c:v>Levantamiento de requerimientos</c:v>
                </c:pt>
                <c:pt idx="1">
                  <c:v>Análisis proceso crediticio actual</c:v>
                </c:pt>
                <c:pt idx="2">
                  <c:v>Diseño de formularios y estructura</c:v>
                </c:pt>
                <c:pt idx="3">
                  <c:v>Definición de flujos de trabajo</c:v>
                </c:pt>
                <c:pt idx="4">
                  <c:v>HITO: Aprobación del Plan</c:v>
                </c:pt>
                <c:pt idx="5">
                  <c:v>HU-01 Login y roles (G1)</c:v>
                </c:pt>
                <c:pt idx="6">
                  <c:v>HU-04 Checklist documentos (G1)</c:v>
                </c:pt>
                <c:pt idx="7">
                  <c:v>HU-07 Scoring crediticio (G1)</c:v>
                </c:pt>
                <c:pt idx="8">
                  <c:v>HU-02 Auditoría WORM (G2)</c:v>
                </c:pt>
                <c:pt idx="9">
                  <c:v>HU-05 Hato ganadero (G2)</c:v>
                </c:pt>
                <c:pt idx="10">
                  <c:v>HU-08 CORE bancario API (G2)</c:v>
                </c:pt>
                <c:pt idx="11">
                  <c:v>HU-03 Carga documentos (G3)</c:v>
                </c:pt>
                <c:pt idx="12">
                  <c:v>HU-06 Simulación agrícola (G3)</c:v>
                </c:pt>
                <c:pt idx="13">
                  <c:v>HU-09 Modo offline (G3)</c:v>
                </c:pt>
                <c:pt idx="14">
                  <c:v>HU-10 Reportes PDF/Excel (G3)</c:v>
                </c:pt>
                <c:pt idx="15">
                  <c:v>HITO: Entrega 2 — Bs. 175.000</c:v>
                </c:pt>
                <c:pt idx="16">
                  <c:v>Pruebas funcionales — Grupo 1</c:v>
                </c:pt>
                <c:pt idx="17">
                  <c:v>Pruebas funcionales — Grupo 2</c:v>
                </c:pt>
                <c:pt idx="18">
                  <c:v>Pruebas funcionales — Grupo 3</c:v>
                </c:pt>
                <c:pt idx="19">
                  <c:v>Validación cálculos financieros</c:v>
                </c:pt>
                <c:pt idx="20">
                  <c:v>Capacitación inicial SandBox</c:v>
                </c:pt>
                <c:pt idx="21">
                  <c:v>HITO: Entrega 3 — Bs. 125.000</c:v>
                </c:pt>
                <c:pt idx="22">
                  <c:v>Go-live y monitoreo inicial</c:v>
                </c:pt>
                <c:pt idx="23">
                  <c:v>Ajustes finales</c:v>
                </c:pt>
                <c:pt idx="24">
                  <c:v>Transferencia tecnológica + docs</c:v>
                </c:pt>
                <c:pt idx="25">
                  <c:v>HITO: Entrega Final — Bs. 100.000</c:v>
                </c:pt>
              </c:strCache>
            </c:strRef>
          </c:cat>
          <c:val>
            <c:numRef>
              <c:f>'Datos Gráfico'!$B$2:$B$27</c:f>
              <c:numCache>
                <c:formatCode>General</c:formatCode>
                <c:ptCount val="26"/>
                <c:pt idx="0">
                  <c:v>0</c:v>
                </c:pt>
                <c:pt idx="1">
                  <c:v>4</c:v>
                </c:pt>
                <c:pt idx="2">
                  <c:v>14</c:v>
                </c:pt>
                <c:pt idx="3">
                  <c:v>19</c:v>
                </c:pt>
                <c:pt idx="4">
                  <c:v>39</c:v>
                </c:pt>
                <c:pt idx="5">
                  <c:v>40</c:v>
                </c:pt>
                <c:pt idx="6">
                  <c:v>54</c:v>
                </c:pt>
                <c:pt idx="7">
                  <c:v>84</c:v>
                </c:pt>
                <c:pt idx="8">
                  <c:v>40</c:v>
                </c:pt>
                <c:pt idx="9">
                  <c:v>59</c:v>
                </c:pt>
                <c:pt idx="10">
                  <c:v>89</c:v>
                </c:pt>
                <c:pt idx="11">
                  <c:v>40</c:v>
                </c:pt>
                <c:pt idx="12">
                  <c:v>69</c:v>
                </c:pt>
                <c:pt idx="13">
                  <c:v>94</c:v>
                </c:pt>
                <c:pt idx="14">
                  <c:v>99</c:v>
                </c:pt>
                <c:pt idx="15">
                  <c:v>139</c:v>
                </c:pt>
                <c:pt idx="16">
                  <c:v>140</c:v>
                </c:pt>
                <c:pt idx="17">
                  <c:v>144</c:v>
                </c:pt>
                <c:pt idx="18">
                  <c:v>147</c:v>
                </c:pt>
                <c:pt idx="19">
                  <c:v>159</c:v>
                </c:pt>
                <c:pt idx="20">
                  <c:v>199</c:v>
                </c:pt>
                <c:pt idx="21">
                  <c:v>239</c:v>
                </c:pt>
                <c:pt idx="22">
                  <c:v>240</c:v>
                </c:pt>
                <c:pt idx="23">
                  <c:v>247</c:v>
                </c:pt>
                <c:pt idx="24">
                  <c:v>249</c:v>
                </c:pt>
                <c:pt idx="25">
                  <c:v>259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16-4919-9C3C-F94227573DE4}"/>
            </c:ext>
          </c:extLst>
        </c:ser>
        <c:ser>
          <c:idx val="1"/>
          <c:order val="1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Gráfico'!$A$2:$A$27</c:f>
              <c:strCache>
                <c:ptCount val="26"/>
                <c:pt idx="0">
                  <c:v>Levantamiento de requerimientos</c:v>
                </c:pt>
                <c:pt idx="1">
                  <c:v>Análisis proceso crediticio actual</c:v>
                </c:pt>
                <c:pt idx="2">
                  <c:v>Diseño de formularios y estructura</c:v>
                </c:pt>
                <c:pt idx="3">
                  <c:v>Definición de flujos de trabajo</c:v>
                </c:pt>
                <c:pt idx="4">
                  <c:v>HITO: Aprobación del Plan</c:v>
                </c:pt>
                <c:pt idx="5">
                  <c:v>HU-01 Login y roles (G1)</c:v>
                </c:pt>
                <c:pt idx="6">
                  <c:v>HU-04 Checklist documentos (G1)</c:v>
                </c:pt>
                <c:pt idx="7">
                  <c:v>HU-07 Scoring crediticio (G1)</c:v>
                </c:pt>
                <c:pt idx="8">
                  <c:v>HU-02 Auditoría WORM (G2)</c:v>
                </c:pt>
                <c:pt idx="9">
                  <c:v>HU-05 Hato ganadero (G2)</c:v>
                </c:pt>
                <c:pt idx="10">
                  <c:v>HU-08 CORE bancario API (G2)</c:v>
                </c:pt>
                <c:pt idx="11">
                  <c:v>HU-03 Carga documentos (G3)</c:v>
                </c:pt>
                <c:pt idx="12">
                  <c:v>HU-06 Simulación agrícola (G3)</c:v>
                </c:pt>
                <c:pt idx="13">
                  <c:v>HU-09 Modo offline (G3)</c:v>
                </c:pt>
                <c:pt idx="14">
                  <c:v>HU-10 Reportes PDF/Excel (G3)</c:v>
                </c:pt>
                <c:pt idx="15">
                  <c:v>HITO: Entrega 2 — Bs. 175.000</c:v>
                </c:pt>
                <c:pt idx="16">
                  <c:v>Pruebas funcionales — Grupo 1</c:v>
                </c:pt>
                <c:pt idx="17">
                  <c:v>Pruebas funcionales — Grupo 2</c:v>
                </c:pt>
                <c:pt idx="18">
                  <c:v>Pruebas funcionales — Grupo 3</c:v>
                </c:pt>
                <c:pt idx="19">
                  <c:v>Validación cálculos financieros</c:v>
                </c:pt>
                <c:pt idx="20">
                  <c:v>Capacitación inicial SandBox</c:v>
                </c:pt>
                <c:pt idx="21">
                  <c:v>HITO: Entrega 3 — Bs. 125.000</c:v>
                </c:pt>
                <c:pt idx="22">
                  <c:v>Go-live y monitoreo inicial</c:v>
                </c:pt>
                <c:pt idx="23">
                  <c:v>Ajustes finales</c:v>
                </c:pt>
                <c:pt idx="24">
                  <c:v>Transferencia tecnológica + docs</c:v>
                </c:pt>
                <c:pt idx="25">
                  <c:v>HITO: Entrega Final — Bs. 100.000</c:v>
                </c:pt>
              </c:strCache>
            </c:strRef>
          </c:cat>
          <c:val>
            <c:numRef>
              <c:f>'Datos Gráfico'!$C$2:$C$27</c:f>
              <c:numCache>
                <c:formatCode>General</c:formatCode>
                <c:ptCount val="26"/>
                <c:pt idx="0">
                  <c:v>15</c:v>
                </c:pt>
                <c:pt idx="1">
                  <c:v>21</c:v>
                </c:pt>
                <c:pt idx="2">
                  <c:v>21</c:v>
                </c:pt>
                <c:pt idx="3">
                  <c:v>19</c:v>
                </c:pt>
                <c:pt idx="4">
                  <c:v>1</c:v>
                </c:pt>
                <c:pt idx="5">
                  <c:v>50</c:v>
                </c:pt>
                <c:pt idx="6">
                  <c:v>56</c:v>
                </c:pt>
                <c:pt idx="7">
                  <c:v>51</c:v>
                </c:pt>
                <c:pt idx="8">
                  <c:v>55</c:v>
                </c:pt>
                <c:pt idx="9">
                  <c:v>61</c:v>
                </c:pt>
                <c:pt idx="10">
                  <c:v>49</c:v>
                </c:pt>
                <c:pt idx="11">
                  <c:v>45</c:v>
                </c:pt>
                <c:pt idx="12">
                  <c:v>56</c:v>
                </c:pt>
                <c:pt idx="13">
                  <c:v>44</c:v>
                </c:pt>
                <c:pt idx="14">
                  <c:v>39</c:v>
                </c:pt>
                <c:pt idx="15">
                  <c:v>1</c:v>
                </c:pt>
                <c:pt idx="16">
                  <c:v>60</c:v>
                </c:pt>
                <c:pt idx="17">
                  <c:v>66</c:v>
                </c:pt>
                <c:pt idx="18">
                  <c:v>68</c:v>
                </c:pt>
                <c:pt idx="19">
                  <c:v>71</c:v>
                </c:pt>
                <c:pt idx="20">
                  <c:v>39</c:v>
                </c:pt>
                <c:pt idx="21">
                  <c:v>1</c:v>
                </c:pt>
                <c:pt idx="22">
                  <c:v>15</c:v>
                </c:pt>
                <c:pt idx="23">
                  <c:v>11</c:v>
                </c:pt>
                <c:pt idx="24">
                  <c:v>11</c:v>
                </c:pt>
                <c:pt idx="2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16-4919-9C3C-F94227573D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91862808"/>
        <c:axId val="491859856"/>
      </c:barChart>
      <c:catAx>
        <c:axId val="49186280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491859856"/>
        <c:crosses val="autoZero"/>
        <c:auto val="1"/>
        <c:lblAlgn val="ctr"/>
        <c:lblOffset val="100"/>
        <c:noMultiLvlLbl val="0"/>
      </c:catAx>
      <c:valAx>
        <c:axId val="49185985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491862808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9646</xdr:colOff>
      <xdr:row>0</xdr:row>
      <xdr:rowOff>57873</xdr:rowOff>
    </xdr:from>
    <xdr:to>
      <xdr:col>16</xdr:col>
      <xdr:colOff>399142</xdr:colOff>
      <xdr:row>26</xdr:row>
      <xdr:rowOff>163286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425355-80A0-4F8E-A516-5DD9D4AA68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0</xdr:row>
      <xdr:rowOff>13855</xdr:rowOff>
    </xdr:from>
    <xdr:to>
      <xdr:col>16</xdr:col>
      <xdr:colOff>526471</xdr:colOff>
      <xdr:row>27</xdr:row>
      <xdr:rowOff>152399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467CE4F-F187-4147-9DA3-5BCFB66ACC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39"/>
  <sheetViews>
    <sheetView tabSelected="1" zoomScale="85" zoomScaleNormal="85" workbookViewId="0">
      <pane xSplit="5" ySplit="2" topLeftCell="I12" activePane="bottomRight" state="frozen"/>
      <selection pane="topRight"/>
      <selection pane="bottomLeft"/>
      <selection pane="bottomRight" activeCell="C25" sqref="C25"/>
    </sheetView>
  </sheetViews>
  <sheetFormatPr baseColWidth="10" defaultColWidth="8.88671875" defaultRowHeight="14.4" x14ac:dyDescent="0.3"/>
  <cols>
    <col min="1" max="1" width="6" customWidth="1"/>
    <col min="2" max="2" width="34" customWidth="1"/>
    <col min="3" max="3" width="20" customWidth="1"/>
    <col min="4" max="5" width="11" customWidth="1"/>
    <col min="6" max="58" width="4.44140625" bestFit="1" customWidth="1"/>
  </cols>
  <sheetData>
    <row r="1" spans="1:58" ht="22.05" customHeight="1" x14ac:dyDescent="0.3">
      <c r="A1" s="24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5"/>
      <c r="BC1" s="25"/>
      <c r="BD1" s="25"/>
      <c r="BE1" s="25"/>
      <c r="BF1" s="25"/>
    </row>
    <row r="2" spans="1:58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P2" s="2" t="s">
        <v>42</v>
      </c>
      <c r="AQ2" s="2" t="s">
        <v>43</v>
      </c>
      <c r="AR2" s="2" t="s">
        <v>44</v>
      </c>
      <c r="AS2" s="2" t="s">
        <v>45</v>
      </c>
      <c r="AT2" s="2" t="s">
        <v>46</v>
      </c>
      <c r="AU2" s="2" t="s">
        <v>47</v>
      </c>
      <c r="AV2" s="2" t="s">
        <v>48</v>
      </c>
      <c r="AW2" s="2" t="s">
        <v>49</v>
      </c>
      <c r="AX2" s="2" t="s">
        <v>50</v>
      </c>
      <c r="AY2" s="2" t="s">
        <v>51</v>
      </c>
      <c r="AZ2" s="2" t="s">
        <v>52</v>
      </c>
      <c r="BA2" s="2" t="s">
        <v>53</v>
      </c>
      <c r="BB2" s="2" t="s">
        <v>54</v>
      </c>
      <c r="BC2" s="2" t="s">
        <v>55</v>
      </c>
      <c r="BD2" s="2" t="s">
        <v>56</v>
      </c>
      <c r="BE2" s="2" t="s">
        <v>57</v>
      </c>
      <c r="BF2" s="2" t="s">
        <v>58</v>
      </c>
    </row>
    <row r="3" spans="1:58" ht="16.05" customHeight="1" x14ac:dyDescent="0.3">
      <c r="A3" s="3"/>
      <c r="B3" s="4" t="s">
        <v>59</v>
      </c>
      <c r="C3" s="3"/>
      <c r="D3" s="3"/>
      <c r="E3" s="3"/>
      <c r="F3" s="5"/>
      <c r="G3" s="5"/>
      <c r="H3" s="5"/>
      <c r="I3" s="5"/>
      <c r="J3" s="5"/>
      <c r="K3" s="5"/>
      <c r="L3" s="5"/>
      <c r="M3" s="5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</row>
    <row r="4" spans="1:58" ht="16.05" customHeight="1" x14ac:dyDescent="0.3">
      <c r="A4" s="7" t="s">
        <v>60</v>
      </c>
      <c r="B4" s="8" t="s">
        <v>61</v>
      </c>
      <c r="C4" s="7" t="s">
        <v>62</v>
      </c>
      <c r="D4" s="7" t="s">
        <v>63</v>
      </c>
      <c r="E4" s="7" t="s">
        <v>64</v>
      </c>
      <c r="F4" s="9"/>
      <c r="G4" s="9"/>
      <c r="H4" s="9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</row>
    <row r="5" spans="1:58" ht="16.05" customHeight="1" x14ac:dyDescent="0.3">
      <c r="A5" s="11" t="s">
        <v>65</v>
      </c>
      <c r="B5" s="12" t="s">
        <v>66</v>
      </c>
      <c r="C5" s="11" t="s">
        <v>173</v>
      </c>
      <c r="D5" s="11" t="s">
        <v>67</v>
      </c>
      <c r="E5" s="11" t="s">
        <v>68</v>
      </c>
      <c r="F5" s="9"/>
      <c r="G5" s="9"/>
      <c r="H5" s="9"/>
      <c r="I5" s="9"/>
      <c r="J5" s="9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</row>
    <row r="6" spans="1:58" ht="16.05" customHeight="1" x14ac:dyDescent="0.3">
      <c r="A6" s="7" t="s">
        <v>69</v>
      </c>
      <c r="B6" s="8" t="s">
        <v>70</v>
      </c>
      <c r="C6" s="7" t="s">
        <v>174</v>
      </c>
      <c r="D6" s="7" t="s">
        <v>64</v>
      </c>
      <c r="E6" s="7" t="s">
        <v>71</v>
      </c>
      <c r="F6" s="10"/>
      <c r="G6" s="10"/>
      <c r="H6" s="14"/>
      <c r="I6" s="14"/>
      <c r="J6" s="14"/>
      <c r="K6" s="14"/>
      <c r="L6" s="14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</row>
    <row r="7" spans="1:58" ht="16.05" customHeight="1" x14ac:dyDescent="0.3">
      <c r="A7" s="11" t="s">
        <v>72</v>
      </c>
      <c r="B7" s="12" t="s">
        <v>73</v>
      </c>
      <c r="C7" s="11" t="s">
        <v>74</v>
      </c>
      <c r="D7" s="11" t="s">
        <v>75</v>
      </c>
      <c r="E7" s="11" t="s">
        <v>76</v>
      </c>
      <c r="F7" s="13"/>
      <c r="G7" s="13"/>
      <c r="H7" s="13"/>
      <c r="I7" s="14"/>
      <c r="J7" s="14"/>
      <c r="K7" s="14"/>
      <c r="L7" s="14"/>
      <c r="M7" s="14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</row>
    <row r="8" spans="1:58" ht="16.05" customHeight="1" x14ac:dyDescent="0.3">
      <c r="A8" s="15" t="s">
        <v>77</v>
      </c>
      <c r="B8" s="16" t="s">
        <v>78</v>
      </c>
      <c r="C8" s="15" t="s">
        <v>79</v>
      </c>
      <c r="D8" s="15" t="s">
        <v>80</v>
      </c>
      <c r="E8" s="15" t="s">
        <v>80</v>
      </c>
      <c r="F8" s="10"/>
      <c r="G8" s="10"/>
      <c r="H8" s="10"/>
      <c r="I8" s="10"/>
      <c r="J8" s="10"/>
      <c r="K8" s="10"/>
      <c r="L8" s="10"/>
      <c r="M8" s="17" t="s">
        <v>81</v>
      </c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</row>
    <row r="9" spans="1:58" ht="16.05" customHeight="1" x14ac:dyDescent="0.3">
      <c r="A9" s="3"/>
      <c r="B9" s="4" t="s">
        <v>82</v>
      </c>
      <c r="C9" s="3"/>
      <c r="D9" s="3"/>
      <c r="E9" s="3"/>
      <c r="F9" s="6"/>
      <c r="G9" s="6"/>
      <c r="H9" s="6"/>
      <c r="I9" s="6"/>
      <c r="J9" s="6"/>
      <c r="K9" s="6"/>
      <c r="L9" s="6"/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</row>
    <row r="10" spans="1:58" ht="16.05" customHeight="1" x14ac:dyDescent="0.3">
      <c r="A10" s="7" t="s">
        <v>83</v>
      </c>
      <c r="B10" s="8" t="s">
        <v>84</v>
      </c>
      <c r="C10" s="7" t="s">
        <v>85</v>
      </c>
      <c r="D10" s="7" t="s">
        <v>86</v>
      </c>
      <c r="E10" s="7" t="s">
        <v>87</v>
      </c>
      <c r="F10" s="10"/>
      <c r="G10" s="10"/>
      <c r="H10" s="10"/>
      <c r="I10" s="10"/>
      <c r="J10" s="10"/>
      <c r="K10" s="10"/>
      <c r="L10" s="10"/>
      <c r="M10" s="10"/>
      <c r="N10" s="9"/>
      <c r="O10" s="9"/>
      <c r="P10" s="9"/>
      <c r="Q10" s="9"/>
      <c r="R10" s="9"/>
      <c r="S10" s="9"/>
      <c r="T10" s="9"/>
      <c r="U10" s="9"/>
      <c r="V10" s="9"/>
      <c r="W10" s="9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</row>
    <row r="11" spans="1:58" ht="16.05" customHeight="1" x14ac:dyDescent="0.3">
      <c r="A11" s="11" t="s">
        <v>88</v>
      </c>
      <c r="B11" s="12" t="s">
        <v>89</v>
      </c>
      <c r="C11" s="11" t="s">
        <v>85</v>
      </c>
      <c r="D11" s="11" t="s">
        <v>90</v>
      </c>
      <c r="E11" s="11" t="s">
        <v>91</v>
      </c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</row>
    <row r="12" spans="1:58" ht="16.05" customHeight="1" x14ac:dyDescent="0.3">
      <c r="A12" s="7" t="s">
        <v>92</v>
      </c>
      <c r="B12" s="8" t="s">
        <v>93</v>
      </c>
      <c r="C12" s="7" t="s">
        <v>85</v>
      </c>
      <c r="D12" s="7" t="s">
        <v>94</v>
      </c>
      <c r="E12" s="7" t="s">
        <v>95</v>
      </c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</row>
    <row r="13" spans="1:58" ht="16.05" customHeight="1" x14ac:dyDescent="0.3">
      <c r="A13" s="11" t="s">
        <v>96</v>
      </c>
      <c r="B13" s="12" t="s">
        <v>97</v>
      </c>
      <c r="C13" s="11" t="s">
        <v>98</v>
      </c>
      <c r="D13" s="11" t="s">
        <v>86</v>
      </c>
      <c r="E13" s="11" t="s">
        <v>99</v>
      </c>
      <c r="F13" s="13"/>
      <c r="G13" s="13"/>
      <c r="H13" s="13"/>
      <c r="I13" s="13"/>
      <c r="J13" s="13"/>
      <c r="K13" s="13"/>
      <c r="L13" s="13"/>
      <c r="M13" s="13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</row>
    <row r="14" spans="1:58" ht="16.05" customHeight="1" x14ac:dyDescent="0.3">
      <c r="A14" s="7" t="s">
        <v>100</v>
      </c>
      <c r="B14" s="8" t="s">
        <v>101</v>
      </c>
      <c r="C14" s="7" t="s">
        <v>98</v>
      </c>
      <c r="D14" s="7" t="s">
        <v>102</v>
      </c>
      <c r="E14" s="7" t="s">
        <v>103</v>
      </c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</row>
    <row r="15" spans="1:58" ht="16.05" customHeight="1" x14ac:dyDescent="0.3">
      <c r="A15" s="11" t="s">
        <v>104</v>
      </c>
      <c r="B15" s="12" t="s">
        <v>105</v>
      </c>
      <c r="C15" s="11" t="s">
        <v>98</v>
      </c>
      <c r="D15" s="11" t="s">
        <v>87</v>
      </c>
      <c r="E15" s="11" t="s">
        <v>106</v>
      </c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</row>
    <row r="16" spans="1:58" ht="16.05" customHeight="1" x14ac:dyDescent="0.3">
      <c r="A16" s="7" t="s">
        <v>107</v>
      </c>
      <c r="B16" s="8" t="s">
        <v>108</v>
      </c>
      <c r="C16" s="7" t="s">
        <v>109</v>
      </c>
      <c r="D16" s="7" t="s">
        <v>86</v>
      </c>
      <c r="E16" s="7" t="s">
        <v>94</v>
      </c>
      <c r="F16" s="10"/>
      <c r="G16" s="10"/>
      <c r="H16" s="10"/>
      <c r="I16" s="10"/>
      <c r="J16" s="10"/>
      <c r="K16" s="10"/>
      <c r="L16" s="10"/>
      <c r="M16" s="10"/>
      <c r="N16" s="14"/>
      <c r="O16" s="14"/>
      <c r="P16" s="14"/>
      <c r="Q16" s="14"/>
      <c r="R16" s="14"/>
      <c r="S16" s="14"/>
      <c r="T16" s="14"/>
      <c r="U16" s="14"/>
      <c r="V16" s="14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</row>
    <row r="17" spans="1:58" ht="16.05" customHeight="1" x14ac:dyDescent="0.3">
      <c r="A17" s="11" t="s">
        <v>110</v>
      </c>
      <c r="B17" s="12" t="s">
        <v>111</v>
      </c>
      <c r="C17" s="11" t="s">
        <v>109</v>
      </c>
      <c r="D17" s="11" t="s">
        <v>112</v>
      </c>
      <c r="E17" s="11" t="s">
        <v>113</v>
      </c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</row>
    <row r="18" spans="1:58" ht="16.05" customHeight="1" x14ac:dyDescent="0.3">
      <c r="A18" s="7" t="s">
        <v>114</v>
      </c>
      <c r="B18" s="8" t="s">
        <v>115</v>
      </c>
      <c r="C18" s="7" t="s">
        <v>109</v>
      </c>
      <c r="D18" s="7" t="s">
        <v>99</v>
      </c>
      <c r="E18" s="7" t="s">
        <v>106</v>
      </c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</row>
    <row r="19" spans="1:58" ht="16.05" customHeight="1" x14ac:dyDescent="0.3">
      <c r="A19" s="11" t="s">
        <v>116</v>
      </c>
      <c r="B19" s="12" t="s">
        <v>117</v>
      </c>
      <c r="C19" s="11" t="s">
        <v>109</v>
      </c>
      <c r="D19" s="11" t="s">
        <v>118</v>
      </c>
      <c r="E19" s="11" t="s">
        <v>106</v>
      </c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4"/>
      <c r="Z19" s="14"/>
      <c r="AA19" s="14"/>
      <c r="AB19" s="14"/>
      <c r="AC19" s="14"/>
      <c r="AD19" s="14"/>
      <c r="AE19" s="14"/>
      <c r="AF19" s="14"/>
      <c r="AG19" s="14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</row>
    <row r="20" spans="1:58" ht="16.05" customHeight="1" x14ac:dyDescent="0.3">
      <c r="A20" s="15" t="s">
        <v>119</v>
      </c>
      <c r="B20" s="16" t="s">
        <v>120</v>
      </c>
      <c r="C20" s="15" t="s">
        <v>79</v>
      </c>
      <c r="D20" s="15" t="s">
        <v>121</v>
      </c>
      <c r="E20" s="15" t="s">
        <v>121</v>
      </c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7" t="s">
        <v>81</v>
      </c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</row>
    <row r="21" spans="1:58" ht="16.05" customHeight="1" x14ac:dyDescent="0.3">
      <c r="A21" s="3"/>
      <c r="B21" s="4" t="s">
        <v>122</v>
      </c>
      <c r="C21" s="3"/>
      <c r="D21" s="3"/>
      <c r="E21" s="3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6"/>
      <c r="BC21" s="6"/>
      <c r="BD21" s="6"/>
      <c r="BE21" s="6"/>
      <c r="BF21" s="6"/>
    </row>
    <row r="22" spans="1:58" ht="16.05" customHeight="1" x14ac:dyDescent="0.3">
      <c r="A22" s="7" t="s">
        <v>123</v>
      </c>
      <c r="B22" s="8" t="s">
        <v>124</v>
      </c>
      <c r="C22" s="7" t="s">
        <v>85</v>
      </c>
      <c r="D22" s="7" t="s">
        <v>125</v>
      </c>
      <c r="E22" s="7" t="s">
        <v>126</v>
      </c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</row>
    <row r="23" spans="1:58" ht="16.05" customHeight="1" x14ac:dyDescent="0.3">
      <c r="A23" s="11" t="s">
        <v>127</v>
      </c>
      <c r="B23" s="12" t="s">
        <v>128</v>
      </c>
      <c r="C23" s="11" t="s">
        <v>98</v>
      </c>
      <c r="D23" s="11" t="s">
        <v>129</v>
      </c>
      <c r="E23" s="11" t="s">
        <v>130</v>
      </c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</row>
    <row r="24" spans="1:58" ht="16.05" customHeight="1" x14ac:dyDescent="0.3">
      <c r="A24" s="7" t="s">
        <v>131</v>
      </c>
      <c r="B24" s="8" t="s">
        <v>132</v>
      </c>
      <c r="C24" s="7" t="s">
        <v>109</v>
      </c>
      <c r="D24" s="7" t="s">
        <v>133</v>
      </c>
      <c r="E24" s="7" t="s">
        <v>134</v>
      </c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0"/>
      <c r="AX24" s="10"/>
      <c r="AY24" s="10"/>
      <c r="AZ24" s="10"/>
      <c r="BA24" s="10"/>
      <c r="BB24" s="10"/>
      <c r="BC24" s="10"/>
      <c r="BD24" s="10"/>
      <c r="BE24" s="10"/>
      <c r="BF24" s="10"/>
    </row>
    <row r="25" spans="1:58" ht="16.05" customHeight="1" x14ac:dyDescent="0.3">
      <c r="A25" s="11" t="s">
        <v>135</v>
      </c>
      <c r="B25" s="12" t="s">
        <v>136</v>
      </c>
      <c r="C25" s="26" t="s">
        <v>137</v>
      </c>
      <c r="D25" s="11" t="s">
        <v>138</v>
      </c>
      <c r="E25" s="11" t="s">
        <v>139</v>
      </c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3"/>
      <c r="BA25" s="13"/>
      <c r="BB25" s="13"/>
      <c r="BC25" s="13"/>
      <c r="BD25" s="13"/>
      <c r="BE25" s="13"/>
      <c r="BF25" s="13"/>
    </row>
    <row r="26" spans="1:58" ht="16.05" customHeight="1" x14ac:dyDescent="0.3">
      <c r="A26" s="7" t="s">
        <v>140</v>
      </c>
      <c r="B26" s="8" t="s">
        <v>141</v>
      </c>
      <c r="C26" s="7" t="s">
        <v>62</v>
      </c>
      <c r="D26" s="7" t="s">
        <v>126</v>
      </c>
      <c r="E26" s="7" t="s">
        <v>142</v>
      </c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4"/>
      <c r="AT26" s="14"/>
      <c r="AU26" s="14"/>
      <c r="AV26" s="14"/>
      <c r="AW26" s="14"/>
      <c r="AX26" s="14"/>
      <c r="AY26" s="14"/>
      <c r="AZ26" s="14"/>
      <c r="BA26" s="14"/>
      <c r="BB26" s="10"/>
      <c r="BC26" s="10"/>
      <c r="BD26" s="10"/>
      <c r="BE26" s="10"/>
      <c r="BF26" s="10"/>
    </row>
    <row r="27" spans="1:58" ht="16.05" customHeight="1" x14ac:dyDescent="0.3">
      <c r="A27" s="18" t="s">
        <v>143</v>
      </c>
      <c r="B27" s="19" t="s">
        <v>144</v>
      </c>
      <c r="C27" s="18" t="s">
        <v>79</v>
      </c>
      <c r="D27" s="18" t="s">
        <v>145</v>
      </c>
      <c r="E27" s="18" t="s">
        <v>145</v>
      </c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7" t="s">
        <v>81</v>
      </c>
      <c r="BB27" s="13"/>
      <c r="BC27" s="13"/>
      <c r="BD27" s="13"/>
      <c r="BE27" s="13"/>
      <c r="BF27" s="13"/>
    </row>
    <row r="28" spans="1:58" ht="16.05" customHeight="1" x14ac:dyDescent="0.3">
      <c r="A28" s="3"/>
      <c r="B28" s="4" t="s">
        <v>146</v>
      </c>
      <c r="C28" s="3"/>
      <c r="D28" s="3"/>
      <c r="E28" s="3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5"/>
      <c r="BC28" s="5"/>
      <c r="BD28" s="5"/>
      <c r="BE28" s="5"/>
      <c r="BF28" s="6"/>
    </row>
    <row r="29" spans="1:58" ht="16.05" customHeight="1" x14ac:dyDescent="0.3">
      <c r="A29" s="11" t="s">
        <v>147</v>
      </c>
      <c r="B29" s="12" t="s">
        <v>148</v>
      </c>
      <c r="C29" s="11" t="s">
        <v>74</v>
      </c>
      <c r="D29" s="11" t="s">
        <v>149</v>
      </c>
      <c r="E29" s="11" t="s">
        <v>150</v>
      </c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9"/>
      <c r="BC29" s="9"/>
      <c r="BD29" s="9"/>
      <c r="BE29" s="13"/>
      <c r="BF29" s="13"/>
    </row>
    <row r="30" spans="1:58" ht="16.05" customHeight="1" x14ac:dyDescent="0.3">
      <c r="A30" s="7" t="s">
        <v>151</v>
      </c>
      <c r="B30" s="8" t="s">
        <v>152</v>
      </c>
      <c r="C30" s="7" t="s">
        <v>74</v>
      </c>
      <c r="D30" s="7" t="s">
        <v>153</v>
      </c>
      <c r="E30" s="7" t="s">
        <v>154</v>
      </c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4"/>
      <c r="BD30" s="14"/>
      <c r="BE30" s="14"/>
      <c r="BF30" s="10"/>
    </row>
    <row r="31" spans="1:58" ht="16.05" customHeight="1" x14ac:dyDescent="0.3">
      <c r="A31" s="11" t="s">
        <v>155</v>
      </c>
      <c r="B31" s="12" t="s">
        <v>156</v>
      </c>
      <c r="C31" s="11" t="s">
        <v>79</v>
      </c>
      <c r="D31" s="11" t="s">
        <v>157</v>
      </c>
      <c r="E31" s="11" t="s">
        <v>158</v>
      </c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4"/>
      <c r="BD31" s="14"/>
      <c r="BE31" s="14"/>
      <c r="BF31" s="13"/>
    </row>
    <row r="32" spans="1:58" ht="16.05" customHeight="1" x14ac:dyDescent="0.3">
      <c r="A32" s="15" t="s">
        <v>159</v>
      </c>
      <c r="B32" s="16" t="s">
        <v>160</v>
      </c>
      <c r="C32" s="15" t="s">
        <v>79</v>
      </c>
      <c r="D32" s="15" t="s">
        <v>158</v>
      </c>
      <c r="E32" s="15" t="s">
        <v>158</v>
      </c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7" t="s">
        <v>81</v>
      </c>
      <c r="BF32" s="10"/>
    </row>
    <row r="35" spans="1:2" x14ac:dyDescent="0.3">
      <c r="A35" s="20" t="s">
        <v>161</v>
      </c>
    </row>
    <row r="36" spans="1:2" x14ac:dyDescent="0.3">
      <c r="A36" s="9"/>
      <c r="B36" s="21" t="s">
        <v>162</v>
      </c>
    </row>
    <row r="37" spans="1:2" x14ac:dyDescent="0.3">
      <c r="A37" s="14"/>
      <c r="B37" s="21" t="s">
        <v>163</v>
      </c>
    </row>
    <row r="38" spans="1:2" x14ac:dyDescent="0.3">
      <c r="A38" s="22"/>
      <c r="B38" s="21" t="s">
        <v>164</v>
      </c>
    </row>
    <row r="39" spans="1:2" x14ac:dyDescent="0.3">
      <c r="A39" s="14"/>
      <c r="B39" s="21" t="s">
        <v>165</v>
      </c>
    </row>
  </sheetData>
  <mergeCells count="1">
    <mergeCell ref="A1:BF1"/>
  </mergeCells>
  <pageMargins left="0.75" right="0.75" top="1" bottom="1" header="0.5" footer="0.5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7"/>
  <sheetViews>
    <sheetView zoomScale="45" zoomScaleNormal="115" workbookViewId="0">
      <selection activeCell="R38" sqref="R38"/>
    </sheetView>
  </sheetViews>
  <sheetFormatPr baseColWidth="10" defaultColWidth="8.88671875" defaultRowHeight="14.4" x14ac:dyDescent="0.3"/>
  <cols>
    <col min="1" max="1" width="38" customWidth="1"/>
    <col min="2" max="2" width="14" customWidth="1"/>
    <col min="3" max="3" width="16" customWidth="1"/>
    <col min="4" max="4" width="10" customWidth="1"/>
  </cols>
  <sheetData>
    <row r="1" spans="1:4" x14ac:dyDescent="0.3">
      <c r="A1" s="23" t="s">
        <v>166</v>
      </c>
      <c r="B1" s="23" t="s">
        <v>167</v>
      </c>
      <c r="C1" s="23" t="s">
        <v>168</v>
      </c>
      <c r="D1" s="23" t="s">
        <v>169</v>
      </c>
    </row>
    <row r="2" spans="1:4" x14ac:dyDescent="0.3">
      <c r="A2" t="s">
        <v>61</v>
      </c>
      <c r="B2">
        <v>0</v>
      </c>
      <c r="C2">
        <v>15</v>
      </c>
      <c r="D2" t="s">
        <v>170</v>
      </c>
    </row>
    <row r="3" spans="1:4" x14ac:dyDescent="0.3">
      <c r="A3" t="s">
        <v>66</v>
      </c>
      <c r="B3">
        <v>4</v>
      </c>
      <c r="C3">
        <v>21</v>
      </c>
      <c r="D3" t="s">
        <v>170</v>
      </c>
    </row>
    <row r="4" spans="1:4" x14ac:dyDescent="0.3">
      <c r="A4" t="s">
        <v>70</v>
      </c>
      <c r="B4">
        <v>14</v>
      </c>
      <c r="C4">
        <v>21</v>
      </c>
      <c r="D4" t="s">
        <v>171</v>
      </c>
    </row>
    <row r="5" spans="1:4" x14ac:dyDescent="0.3">
      <c r="A5" t="s">
        <v>73</v>
      </c>
      <c r="B5">
        <v>19</v>
      </c>
      <c r="C5">
        <v>19</v>
      </c>
      <c r="D5" t="s">
        <v>171</v>
      </c>
    </row>
    <row r="6" spans="1:4" x14ac:dyDescent="0.3">
      <c r="A6" t="s">
        <v>78</v>
      </c>
      <c r="B6">
        <v>39</v>
      </c>
      <c r="C6">
        <v>1</v>
      </c>
      <c r="D6" t="s">
        <v>172</v>
      </c>
    </row>
    <row r="7" spans="1:4" x14ac:dyDescent="0.3">
      <c r="A7" t="s">
        <v>84</v>
      </c>
      <c r="B7">
        <v>40</v>
      </c>
      <c r="C7">
        <v>50</v>
      </c>
      <c r="D7" t="s">
        <v>170</v>
      </c>
    </row>
    <row r="8" spans="1:4" x14ac:dyDescent="0.3">
      <c r="A8" t="s">
        <v>89</v>
      </c>
      <c r="B8">
        <v>54</v>
      </c>
      <c r="C8">
        <v>56</v>
      </c>
      <c r="D8" t="s">
        <v>170</v>
      </c>
    </row>
    <row r="9" spans="1:4" x14ac:dyDescent="0.3">
      <c r="A9" t="s">
        <v>93</v>
      </c>
      <c r="B9">
        <v>84</v>
      </c>
      <c r="C9">
        <v>51</v>
      </c>
      <c r="D9" t="s">
        <v>170</v>
      </c>
    </row>
    <row r="10" spans="1:4" x14ac:dyDescent="0.3">
      <c r="A10" t="s">
        <v>97</v>
      </c>
      <c r="B10">
        <v>40</v>
      </c>
      <c r="C10">
        <v>55</v>
      </c>
      <c r="D10" t="s">
        <v>170</v>
      </c>
    </row>
    <row r="11" spans="1:4" x14ac:dyDescent="0.3">
      <c r="A11" t="s">
        <v>101</v>
      </c>
      <c r="B11">
        <v>59</v>
      </c>
      <c r="C11">
        <v>61</v>
      </c>
      <c r="D11" t="s">
        <v>170</v>
      </c>
    </row>
    <row r="12" spans="1:4" x14ac:dyDescent="0.3">
      <c r="A12" t="s">
        <v>105</v>
      </c>
      <c r="B12">
        <v>89</v>
      </c>
      <c r="C12">
        <v>49</v>
      </c>
      <c r="D12" t="s">
        <v>170</v>
      </c>
    </row>
    <row r="13" spans="1:4" x14ac:dyDescent="0.3">
      <c r="A13" t="s">
        <v>108</v>
      </c>
      <c r="B13">
        <v>40</v>
      </c>
      <c r="C13">
        <v>45</v>
      </c>
      <c r="D13" t="s">
        <v>171</v>
      </c>
    </row>
    <row r="14" spans="1:4" x14ac:dyDescent="0.3">
      <c r="A14" t="s">
        <v>111</v>
      </c>
      <c r="B14">
        <v>69</v>
      </c>
      <c r="C14">
        <v>56</v>
      </c>
      <c r="D14" t="s">
        <v>171</v>
      </c>
    </row>
    <row r="15" spans="1:4" x14ac:dyDescent="0.3">
      <c r="A15" t="s">
        <v>115</v>
      </c>
      <c r="B15">
        <v>94</v>
      </c>
      <c r="C15">
        <v>44</v>
      </c>
      <c r="D15" t="s">
        <v>171</v>
      </c>
    </row>
    <row r="16" spans="1:4" x14ac:dyDescent="0.3">
      <c r="A16" t="s">
        <v>117</v>
      </c>
      <c r="B16">
        <v>99</v>
      </c>
      <c r="C16">
        <v>39</v>
      </c>
      <c r="D16" t="s">
        <v>171</v>
      </c>
    </row>
    <row r="17" spans="1:4" x14ac:dyDescent="0.3">
      <c r="A17" t="s">
        <v>120</v>
      </c>
      <c r="B17">
        <v>139</v>
      </c>
      <c r="C17">
        <v>1</v>
      </c>
      <c r="D17" t="s">
        <v>172</v>
      </c>
    </row>
    <row r="18" spans="1:4" x14ac:dyDescent="0.3">
      <c r="A18" t="s">
        <v>124</v>
      </c>
      <c r="B18">
        <v>140</v>
      </c>
      <c r="C18">
        <v>60</v>
      </c>
      <c r="D18" t="s">
        <v>170</v>
      </c>
    </row>
    <row r="19" spans="1:4" x14ac:dyDescent="0.3">
      <c r="A19" t="s">
        <v>128</v>
      </c>
      <c r="B19">
        <v>144</v>
      </c>
      <c r="C19">
        <v>66</v>
      </c>
      <c r="D19" t="s">
        <v>170</v>
      </c>
    </row>
    <row r="20" spans="1:4" x14ac:dyDescent="0.3">
      <c r="A20" t="s">
        <v>132</v>
      </c>
      <c r="B20">
        <v>147</v>
      </c>
      <c r="C20">
        <v>68</v>
      </c>
      <c r="D20" t="s">
        <v>171</v>
      </c>
    </row>
    <row r="21" spans="1:4" x14ac:dyDescent="0.3">
      <c r="A21" t="s">
        <v>136</v>
      </c>
      <c r="B21">
        <v>159</v>
      </c>
      <c r="C21">
        <v>71</v>
      </c>
      <c r="D21" t="s">
        <v>171</v>
      </c>
    </row>
    <row r="22" spans="1:4" x14ac:dyDescent="0.3">
      <c r="A22" t="s">
        <v>141</v>
      </c>
      <c r="B22">
        <v>199</v>
      </c>
      <c r="C22">
        <v>39</v>
      </c>
      <c r="D22" t="s">
        <v>171</v>
      </c>
    </row>
    <row r="23" spans="1:4" x14ac:dyDescent="0.3">
      <c r="A23" t="s">
        <v>144</v>
      </c>
      <c r="B23">
        <v>239</v>
      </c>
      <c r="C23">
        <v>1</v>
      </c>
      <c r="D23" t="s">
        <v>172</v>
      </c>
    </row>
    <row r="24" spans="1:4" x14ac:dyDescent="0.3">
      <c r="A24" t="s">
        <v>148</v>
      </c>
      <c r="B24">
        <v>240</v>
      </c>
      <c r="C24">
        <v>15</v>
      </c>
      <c r="D24" t="s">
        <v>170</v>
      </c>
    </row>
    <row r="25" spans="1:4" x14ac:dyDescent="0.3">
      <c r="A25" t="s">
        <v>152</v>
      </c>
      <c r="B25">
        <v>247</v>
      </c>
      <c r="C25">
        <v>11</v>
      </c>
      <c r="D25" t="s">
        <v>171</v>
      </c>
    </row>
    <row r="26" spans="1:4" x14ac:dyDescent="0.3">
      <c r="A26" t="s">
        <v>156</v>
      </c>
      <c r="B26">
        <v>249</v>
      </c>
      <c r="C26">
        <v>11</v>
      </c>
      <c r="D26" t="s">
        <v>171</v>
      </c>
    </row>
    <row r="27" spans="1:4" x14ac:dyDescent="0.3">
      <c r="A27" t="s">
        <v>160</v>
      </c>
      <c r="B27">
        <v>259</v>
      </c>
      <c r="C27">
        <v>1</v>
      </c>
      <c r="D27" t="s">
        <v>172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Gantt BDP</vt:lpstr>
      <vt:lpstr>Datos Gráfico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2026-03-30T16:04:07Z</dcterms:created>
  <dcterms:modified xsi:type="dcterms:W3CDTF">2026-03-30T16:41:26Z</dcterms:modified>
</cp:coreProperties>
</file>