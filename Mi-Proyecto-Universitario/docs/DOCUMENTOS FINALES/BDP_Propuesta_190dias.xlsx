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B0FB383-4466-4A50-B967-FC5920DE714B}" xr6:coauthVersionLast="45" xr6:coauthVersionMax="45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Presupuesto" sheetId="1" r:id="rId1"/>
    <sheet name="Cronograma Gantt" sheetId="2" r:id="rId2"/>
    <sheet name="Cronograma Financiero" sheetId="3" r:id="rId3"/>
    <sheet name="Gráficos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3" i="1" l="1"/>
  <c r="E28" i="1"/>
  <c r="E24" i="1"/>
  <c r="E19" i="1"/>
  <c r="E14" i="1"/>
  <c r="E9" i="1"/>
  <c r="E35" i="1" s="1"/>
  <c r="E99" i="1" s="1"/>
  <c r="F33" i="1" l="1"/>
  <c r="F24" i="1"/>
  <c r="F17" i="1"/>
  <c r="F9" i="1"/>
  <c r="F32" i="1"/>
  <c r="F16" i="1"/>
  <c r="F8" i="1"/>
  <c r="F31" i="1"/>
  <c r="F23" i="1"/>
  <c r="F7" i="1"/>
  <c r="F30" i="1"/>
  <c r="F22" i="1"/>
  <c r="F6" i="1"/>
  <c r="F21" i="1"/>
  <c r="F13" i="1"/>
  <c r="F5" i="1"/>
  <c r="F12" i="1"/>
  <c r="F27" i="1"/>
  <c r="F11" i="1"/>
  <c r="F26" i="1"/>
  <c r="F18" i="1"/>
  <c r="F19" i="1"/>
  <c r="F14" i="1"/>
  <c r="F28" i="1"/>
</calcChain>
</file>

<file path=xl/sharedStrings.xml><?xml version="1.0" encoding="utf-8"?>
<sst xmlns="http://schemas.openxmlformats.org/spreadsheetml/2006/main" count="348" uniqueCount="286">
  <si>
    <t>PROPUESTA FINANCIERA — PLATAFORMA VIRTUAL CREDITICIA BDP S.A.M.</t>
  </si>
  <si>
    <t>Banco de Desarrollo Productivo S.A.M.  ·  Digitalización del Proceso Crediticio PYME y Banca Empresa  ·  Presupuesto: Bs. 450,000  ·  Duración: 190 días hábiles  ·  Gestión 2026</t>
  </si>
  <si>
    <t>Código</t>
  </si>
  <si>
    <t>Rol / Servicio Profesional</t>
  </si>
  <si>
    <t>Descripción del Entregable</t>
  </si>
  <si>
    <t>Tipo de Costo</t>
  </si>
  <si>
    <t>Monto (Bs.)</t>
  </si>
  <si>
    <t>% del Total</t>
  </si>
  <si>
    <t>Justificación Técnica</t>
  </si>
  <si>
    <t>1. SERVICIOS PROFESIONALES DE CONSULTORÍA — Recursos Humanos Especializados</t>
  </si>
  <si>
    <t>P-01</t>
  </si>
  <si>
    <t>Consultor Senior de Proyecto</t>
  </si>
  <si>
    <t>Dirección estratégica, gestión de interesados, informes EVM y coordinación con el patrocinador durante los 190 días hábiles del proyecto. Supervisión de la implementación de herramientas de IA generativa para aceleración del desarrollo.</t>
  </si>
  <si>
    <t>Directo</t>
  </si>
  <si>
    <t>Dominio de Gobernanza (PMBOK 8): Responsable de la toma de decisiones, gestión de riesgos y comunicación formal con el BDP S.A.M. durante todo el ciclo del proyecto.</t>
  </si>
  <si>
    <t>P-02</t>
  </si>
  <si>
    <t>Ingenieros de Desarrollo Full-Stack — Módulos de Autenticación y Motor de Scoring</t>
  </si>
  <si>
    <t>Implementación del sistema de autenticación/RBAC, checklist inteligente y motor de scoring crediticio. Uso de IA generativa para aceleración de codificación — reducción del 27% en tiempo de desarrollo de estos módulos críticos.</t>
  </si>
  <si>
    <t>Ruta Crítica del Proyecto: módulos de mayor complejidad técnica. La incorporación de IA generativa en testing automatizado permite cumplir la Fase 2 en 80 días sin sacrificar calidad.</t>
  </si>
  <si>
    <t>P-03</t>
  </si>
  <si>
    <t>Especialistas en Integración API y Seguridad Bancaria</t>
  </si>
  <si>
    <t>Desarrollo del módulo de auditoría WORM, análisis de hato ganadero e integración con el CORE bancario mediante API REST (JWT, JSON, HATEOAS). Testing de seguridad asistido por IA para cobertura exhaustiva en menor tiempo.</t>
  </si>
  <si>
    <t>RNF-04/RF-06: Integración con el Core Bancario y cumplimiento normativa ASFI. La Fase 3 mantiene 50 días para garantizar el rigor de seguridad bancaria exigido.</t>
  </si>
  <si>
    <t>P-04</t>
  </si>
  <si>
    <t>Especialistas en Módulos Transversales y Aseguramiento de Calidad (QA)</t>
  </si>
  <si>
    <t>Implementación de carga de documentos, simulador agrícola, modo offline y reportes PDF/Excel. QA automatizado con herramientas de IA que incrementan la cobertura de pruebas al 95% en tiempo reducido.</t>
  </si>
  <si>
    <t>El QA asistido por IA permite generar casos de prueba exhaustivos automáticamente, garantizando el cumplimiento del Definition of Done en el plazo optimizado de 190 días.</t>
  </si>
  <si>
    <t xml:space="preserve">   Subtotal Servicios Profesionales</t>
  </si>
  <si>
    <t>2. INFRAESTRUCTURA TECNOLÓGICA Y SEGURIDAD</t>
  </si>
  <si>
    <t>I-01</t>
  </si>
  <si>
    <t>Infraestructura Cloud — Ambientes de Desarrollo, SandBox y Producción</t>
  </si>
  <si>
    <t>Servicios cloud con alta disponibilidad. Tres ambientes separados operativos durante los 190 días del proyecto.</t>
  </si>
  <si>
    <t>Protocolo de Resiliencia Técnica: 3 ambientes garantizan que las pruebas no afecten el entorno productivo del BDP S.A.M.</t>
  </si>
  <si>
    <t>I-02</t>
  </si>
  <si>
    <t>Base de Datos Relacional + Sistema de Backups Automáticos</t>
  </si>
  <si>
    <t>PostgreSQL con replicación activa, backups diarios y protección WORM de logs de auditoría conforme a normativa bancaria.</t>
  </si>
  <si>
    <t>RNF-05/RF-07: Seguridad Total — logs 100% inalterables requeridos por normativa bancaria. Garantiza trazabilidad completa de operaciones.</t>
  </si>
  <si>
    <t>I-03</t>
  </si>
  <si>
    <t>Certificación SSL/TLS y Seguridad de API REST</t>
  </si>
  <si>
    <t>Certificados SSL/TLS, configuración JWT y hardening de la comunicación API REST con el CORE bancario del BDP S.A.M.</t>
  </si>
  <si>
    <t>RNF-04: Integración segura vía API-REST — requisito contractual de seguridad de grado bancario.</t>
  </si>
  <si>
    <t xml:space="preserve">   Subtotal Infraestructura Tecnológica</t>
  </si>
  <si>
    <t>3. ASEGURAMIENTO DE CALIDAD Y VALIDACIÓN TÉCNICA (QA)</t>
  </si>
  <si>
    <t>Q-01</t>
  </si>
  <si>
    <t>Pruebas Funcionales y de Regresión — Testing Automatizado con IA</t>
  </si>
  <si>
    <t>Pruebas funcionales, de regresión e integración asistidas por IA generativa, logrando 95% de cobertura en el tiempo optimizado. Validación conforme al Definition of Done (DoD) acordado con el BDP.</t>
  </si>
  <si>
    <t>La automatización de pruebas con IA reduce el tiempo de QA sin comprometer la cobertura. Toda funcionalidad debe superar las pruebas antes de presentarse al BDP para aprobación formal.</t>
  </si>
  <si>
    <t>Q-02</t>
  </si>
  <si>
    <t>Validación de Modelos Financieros con Especialistas del BDP</t>
  </si>
  <si>
    <t>Revisión y validación de algoritmos de scoring, flujos agrícolas/pecuarios y reportes financieros con analistas del BDP S.A.M.</t>
  </si>
  <si>
    <t>RF-03/RF-04/RF-11: Los modelos de evaluación financiera requieren validación por expertos del BDP para garantizar precisión normativa — proceso que no se puede acelerar con IA.</t>
  </si>
  <si>
    <t>Q-03</t>
  </si>
  <si>
    <t>Pruebas de Integración y Certificación API con Sistema CORE</t>
  </si>
  <si>
    <t>Protocolo de pruebas de comunicación API REST en ambiente SandBox controlado, con certificación de integración exitosa.</t>
  </si>
  <si>
    <t>RF-06: La integración con el CORE es el entregable de mayor riesgo técnico — la Fase 3 mantiene 50 días para garantizar el rigor de las pruebas de seguridad bancaria.</t>
  </si>
  <si>
    <t xml:space="preserve">   Subtotal Aseguramiento de Calidad</t>
  </si>
  <si>
    <t>4. CAPACITACIÓN, DOCUMENTACIÓN Y TRANSFERENCIA TECNOLÓGICA</t>
  </si>
  <si>
    <t>C-01</t>
  </si>
  <si>
    <t>Programa de Capacitación Operativa — Metodología 'Aprender Haciendo'</t>
  </si>
  <si>
    <t>Capacitación progresiva en ambiente SandBox para usuarios del BDP S.A.M. Materiales de capacitación generados con asistencia de IA para mayor claridad y eficiencia.</t>
  </si>
  <si>
    <t>Gestión del Cambio Organizacional (PMBOK 8): la capacitación en SandBox reduce la resistencia al cambio y asegura la adopción efectiva del sistema en el plazo de 30 días de la Fase 4.</t>
  </si>
  <si>
    <t>C-02</t>
  </si>
  <si>
    <t>Documentación Técnica Integral y Manual de Usuario</t>
  </si>
  <si>
    <t>Documentación técnica completa (arquitectura, API, BD), manual de usuario y wiki interna para el BDP S.A.M.</t>
  </si>
  <si>
    <t>Entregable contractual obligatorio: código fuente documentado, manuales de instalación, operación y mantenimiento. Generación asistida por IA para mayor velocidad y calidad.</t>
  </si>
  <si>
    <t>C-03</t>
  </si>
  <si>
    <t>Transferencia Tecnológica y Acompañamiento Go-Live</t>
  </si>
  <si>
    <t>Soporte técnico durante el despliegue en producción, monitoreo inicial y entrega formal del sistema al BDP S.A.M.</t>
  </si>
  <si>
    <t>Cierre del Proyecto (PMBOK 8 — Proceso 1.9): el código fuente y todos los activos pasan a propiedad absoluta e irrevocable del BDP S.A.M. al finalizar el contrato.</t>
  </si>
  <si>
    <t xml:space="preserve">   Subtotal Capacitación y Transferencia</t>
  </si>
  <si>
    <t>5. COSTOS INDIRECTOS — Absorbidos por el BDP S.A.M. (Bs. 0)</t>
  </si>
  <si>
    <t>X-01</t>
  </si>
  <si>
    <t>Infraestructura de Red, Conectividad y Suministro Eléctrico</t>
  </si>
  <si>
    <t>Conectividad corporativa, suministro eléctrico y acceso a instalaciones del BDP S.A.M.</t>
  </si>
  <si>
    <t>Indirecto</t>
  </si>
  <si>
    <t>El BDP S.A.M. asume estos costos institucionalmente, optimizando el presupuesto del contratista.</t>
  </si>
  <si>
    <t>X-02</t>
  </si>
  <si>
    <t>Licencias de Software de Código Abierto (Open Source)</t>
  </si>
  <si>
    <t>Vue.js, Laravel/Node.js, PostgreSQL y herramientas de IA generativa open source — sin costos de licenciamiento.</t>
  </si>
  <si>
    <t>Open Source + IA generativa gratuita = independencia tecnológica sin vendor lock-in ni costos recurrentes.</t>
  </si>
  <si>
    <t xml:space="preserve">   Subtotal Costos Indirectos</t>
  </si>
  <si>
    <t>6. RESERVA DE CONTINGENCIA — Gestión de Riesgos Identificados (4.9%)</t>
  </si>
  <si>
    <t>R-01</t>
  </si>
  <si>
    <t>Contingencia: Escalabilidad y Continuidad de Infraestructura Cloud</t>
  </si>
  <si>
    <t>Fondo para incrementos en hosting, migración de proveedor o escalado de recursos ante picos de demanda.</t>
  </si>
  <si>
    <t>Reserva</t>
  </si>
  <si>
    <t>Riesgo R-01: Probabilidad Media · Impacto Alto. Activación requiere autorización del Consultor Senior con registro en el Log de Cambios.</t>
  </si>
  <si>
    <t>R-02</t>
  </si>
  <si>
    <t>Contingencia: Retraso en Entregables de Ruta Crítica</t>
  </si>
  <si>
    <t>Reserva para horas adicionales de P-02 y P-03 ante retrasos en Scoring o Integración CORE — ruta crítica del proyecto.</t>
  </si>
  <si>
    <t>Riesgo R-02: Probabilidad Alta · Impacto Muy Alto. En el cronograma de 190 días, un retraso en la ruta crítica compromete directamente el Hito H-2.</t>
  </si>
  <si>
    <t>R-03</t>
  </si>
  <si>
    <t>Contingencia: Gestión de Cambios de Alcance Aprobados</t>
  </si>
  <si>
    <t>Reserva para esfuerzo adicional por cambios de alcance aprobados formalmente mediante Acta de Control de Cambios.</t>
  </si>
  <si>
    <t>Riesgo R-03: Activación condicionada a que el cambio supere el 5% del presupuesto de la fase — requiere acta firmada por el BDP y el Consultor Senior.</t>
  </si>
  <si>
    <t xml:space="preserve">   Subtotal Reserva de Contingencia</t>
  </si>
  <si>
    <t>PRESUPUESTO TOTAL DEL PROYECTO — LÍNEA BASE DE COSTOS</t>
  </si>
  <si>
    <t>PMBOK 8va ed. — Proceso 7.3: Determinar el Presupuesto  ·  Ahorro: Bs. 50,000 (10%) vs. techo de Bs. 500,000  ·  Reducción de Time-to-Market: 27% mediante IA generativa</t>
  </si>
  <si>
    <t>NOTA: La optimización del cronograma a 190 días hábiles (aprox. 8.5 meses) responde a la implementación de Tecnologías de Aceleración de Desarrollo (IA Generativa) en las fases de codificación y testing automatizado. Esto permite reducir el Time-to-Market para el BDP en un 27%, manteniendo los rigurosos estándares de seguridad bancaria exigidos. El presupuesto de Bs. 450,000 representa un ahorro del 10% respecto al techo de Bs. 500,000 del BDP S.A.M. — PMBOK® Guide 8va Edición — Dominio: Finance.</t>
  </si>
  <si>
    <t>DIAGRAMA DE GANTT — PROYECTO BDP S.A.M. | Digitalización Proceso Crediticio PYME y Banca Empresa</t>
  </si>
  <si>
    <t>Banco de Desarrollo Productivo S.A.M.  ·  Presupuesto: Bs. 450,000  ·  Duración Optimizada: 190 días hábiles (aprox. 8.5 meses)  ·  06/04/2026 — 02/01/2027  ·  Acelerado con IA Generativa: −27% Time-to-Market</t>
  </si>
  <si>
    <t>ID</t>
  </si>
  <si>
    <t>Actividad / Entregable</t>
  </si>
  <si>
    <t>Responsable Técnico</t>
  </si>
  <si>
    <t>Inicio</t>
  </si>
  <si>
    <t>Fin</t>
  </si>
  <si>
    <t>06/04</t>
  </si>
  <si>
    <t>13/04</t>
  </si>
  <si>
    <t>20/04</t>
  </si>
  <si>
    <t>27/04</t>
  </si>
  <si>
    <t>04/05</t>
  </si>
  <si>
    <t>11/05</t>
  </si>
  <si>
    <t>18/05</t>
  </si>
  <si>
    <t>25/05</t>
  </si>
  <si>
    <t>01/06</t>
  </si>
  <si>
    <t>08/06</t>
  </si>
  <si>
    <t>15/06</t>
  </si>
  <si>
    <t>22/06</t>
  </si>
  <si>
    <t>29/06</t>
  </si>
  <si>
    <t>06/07</t>
  </si>
  <si>
    <t>13/07</t>
  </si>
  <si>
    <t>20/07</t>
  </si>
  <si>
    <t>27/07</t>
  </si>
  <si>
    <t>03/08</t>
  </si>
  <si>
    <t>10/08</t>
  </si>
  <si>
    <t>17/08</t>
  </si>
  <si>
    <t>24/08</t>
  </si>
  <si>
    <t>31/08</t>
  </si>
  <si>
    <t>07/09</t>
  </si>
  <si>
    <t>14/09</t>
  </si>
  <si>
    <t>21/09</t>
  </si>
  <si>
    <t>28/09</t>
  </si>
  <si>
    <t>05/10</t>
  </si>
  <si>
    <t>12/10</t>
  </si>
  <si>
    <t>19/10</t>
  </si>
  <si>
    <t>26/10</t>
  </si>
  <si>
    <t>02/11</t>
  </si>
  <si>
    <t>09/11</t>
  </si>
  <si>
    <t>16/11</t>
  </si>
  <si>
    <t>23/11</t>
  </si>
  <si>
    <t>30/11</t>
  </si>
  <si>
    <t>07/12</t>
  </si>
  <si>
    <t>14/12</t>
  </si>
  <si>
    <t>21/12</t>
  </si>
  <si>
    <t>28/12</t>
  </si>
  <si>
    <t>04/01</t>
  </si>
  <si>
    <t>FASE 1 — Inicio y Diseño del Sistema (30 días hábiles)</t>
  </si>
  <si>
    <t>1.1</t>
  </si>
  <si>
    <t>Levantamiento y documentación de requerimientos funcionales</t>
  </si>
  <si>
    <t>Consultor Senior de Proyecto (P-01) + Equipo Técnico</t>
  </si>
  <si>
    <t>06/04/2026</t>
  </si>
  <si>
    <t>18/04/2026</t>
  </si>
  <si>
    <t>1.2</t>
  </si>
  <si>
    <t>Análisis del proceso crediticio actual y modelado de flujos de trabajo</t>
  </si>
  <si>
    <t>Consultor Senior (P-01) + Especialistas P-04</t>
  </si>
  <si>
    <t>13/04/2026</t>
  </si>
  <si>
    <t>30/04/2026</t>
  </si>
  <si>
    <t>1.3</t>
  </si>
  <si>
    <t>Diseño de arquitectura del sistema, interfaces UX y modelo de datos</t>
  </si>
  <si>
    <t>Especialistas P-02 + P-03</t>
  </si>
  <si>
    <t>20/04/2026</t>
  </si>
  <si>
    <t>11/05/2026</t>
  </si>
  <si>
    <t>1.4</t>
  </si>
  <si>
    <t>Definición de criterios de aceptación (DoD) y plan de sprints XP</t>
  </si>
  <si>
    <t>Equipo técnico completo</t>
  </si>
  <si>
    <t>04/05/2026</t>
  </si>
  <si>
    <t>16/05/2026</t>
  </si>
  <si>
    <t>H-1</t>
  </si>
  <si>
    <t>HITO: Aprobación del Plan de Dirección y Arquitectura — Bs. 90,000 (20%)</t>
  </si>
  <si>
    <t>Consultor Senior (P-01) + BDP S.A.M.</t>
  </si>
  <si>
    <t>◆</t>
  </si>
  <si>
    <t>FASE 2 — Desarrollo Core con IA Generativa (80 días hábiles)</t>
  </si>
  <si>
    <t>2.1</t>
  </si>
  <si>
    <t>Módulo de Autenticación, Control de Roles y Accesos (RBAC)</t>
  </si>
  <si>
    <t>Ingenieros Full-Stack — Autenticación y Scoring (P-02)</t>
  </si>
  <si>
    <t>19/05/2026</t>
  </si>
  <si>
    <t>03/07/2026</t>
  </si>
  <si>
    <t>2.2</t>
  </si>
  <si>
    <t>Módulo de Checklist Inteligente de Documentos Crediticios</t>
  </si>
  <si>
    <t>02/06/2026</t>
  </si>
  <si>
    <t>24/07/2026</t>
  </si>
  <si>
    <t>2.3</t>
  </si>
  <si>
    <t>Motor de Scoring Crediticio — Ruta Crítica — IA Generativa</t>
  </si>
  <si>
    <t>07/07/2026</t>
  </si>
  <si>
    <t>04/09/2026</t>
  </si>
  <si>
    <t>2.4</t>
  </si>
  <si>
    <t>Módulo de Auditoría WORM y Logs Inalterables (Normativa ASFI)</t>
  </si>
  <si>
    <t>Especialistas en Integración API y Seguridad (P-03)</t>
  </si>
  <si>
    <t>10/07/2026</t>
  </si>
  <si>
    <t>2.5</t>
  </si>
  <si>
    <t>Módulo de Análisis de Hato Ganadero y Evaluación Sectorial</t>
  </si>
  <si>
    <t>16/06/2026</t>
  </si>
  <si>
    <t>14/08/2026</t>
  </si>
  <si>
    <t>2.6</t>
  </si>
  <si>
    <t>Integración API REST con Sistema CORE Bancario (JWT/HATEOAS)</t>
  </si>
  <si>
    <t>21/07/2026</t>
  </si>
  <si>
    <t>2.7</t>
  </si>
  <si>
    <t>Módulo de Carga y Gestión de Documentos Digitales</t>
  </si>
  <si>
    <t>Especialistas en Módulos Transversales y QA (P-04)</t>
  </si>
  <si>
    <t>2.8</t>
  </si>
  <si>
    <t>Simulador de Análisis Agrícola y Evaluación Productiva</t>
  </si>
  <si>
    <t>07/08/2026</t>
  </si>
  <si>
    <t>2.9</t>
  </si>
  <si>
    <t>Módulo de Operación Offline con Sincronización Automática</t>
  </si>
  <si>
    <t>28/07/2026</t>
  </si>
  <si>
    <t>2.10</t>
  </si>
  <si>
    <t>Generador de Reportes Ejecutivos PDF y Excel — IA Generativa</t>
  </si>
  <si>
    <t>11/08/2026</t>
  </si>
  <si>
    <t>H-2</t>
  </si>
  <si>
    <t>HITO: Plataforma Alpha — Módulos Core en Producción — Bs. 157,500 (35%)</t>
  </si>
  <si>
    <t>07/09/2026</t>
  </si>
  <si>
    <t>FASE 3 — Integración, Seguridad y Validación (50 días hábiles)</t>
  </si>
  <si>
    <t>3.1</t>
  </si>
  <si>
    <t>Ingenieros P-02 + Especialistas P-04</t>
  </si>
  <si>
    <t>08/09/2026</t>
  </si>
  <si>
    <t>25/09/2026</t>
  </si>
  <si>
    <t>3.2</t>
  </si>
  <si>
    <t>Pruebas de Seguridad y Certificación API con Sistema CORE Bancario</t>
  </si>
  <si>
    <t>10/10/2026</t>
  </si>
  <si>
    <t>3.3</t>
  </si>
  <si>
    <t>Validación de Modelos Financieros con Analistas Especializados del BDP</t>
  </si>
  <si>
    <t>Consultor Senior (P-01) + Analistas BDP</t>
  </si>
  <si>
    <t>15/09/2026</t>
  </si>
  <si>
    <t>31/10/2026</t>
  </si>
  <si>
    <t>3.4</t>
  </si>
  <si>
    <t>Capacitación Operativa Inicial en Ambiente SandBox (C-01)</t>
  </si>
  <si>
    <t>Consultor Senior (P-01) + Equipo Técnico</t>
  </si>
  <si>
    <t>20/10/2026</t>
  </si>
  <si>
    <t>14/11/2026</t>
  </si>
  <si>
    <t>H-3</t>
  </si>
  <si>
    <t>HITO: Fase Beta — Módulos de Riesgo y Seguridad Certificados — Bs. 112,500 (25%)</t>
  </si>
  <si>
    <t>FASE 4 — Despliegue, Go-Live y Cierre del Proyecto (30 días hábiles)</t>
  </si>
  <si>
    <t>4.1</t>
  </si>
  <si>
    <t>Despliegue en Producción y Monitoreo Inicial del Sistema (Go-Live)</t>
  </si>
  <si>
    <t>17/11/2026</t>
  </si>
  <si>
    <t>04/12/2026</t>
  </si>
  <si>
    <t>4.2</t>
  </si>
  <si>
    <t>Ajustes Post-Implementación y Correcciones Finales del Sistema</t>
  </si>
  <si>
    <t>25/11/2026</t>
  </si>
  <si>
    <t>18/12/2026</t>
  </si>
  <si>
    <t>4.3</t>
  </si>
  <si>
    <t>Transferencia Tecnológica, Documentación Final y Entrega Formal</t>
  </si>
  <si>
    <t>07/12/2026</t>
  </si>
  <si>
    <t>02/01/2027</t>
  </si>
  <si>
    <t>H-4</t>
  </si>
  <si>
    <t>HITO: Entrega Final — Sistema en Producción y Cierre del Contrato — Bs. 90,000 (20%)</t>
  </si>
  <si>
    <t>Leyenda:</t>
  </si>
  <si>
    <t>Tarea de ruta crítica</t>
  </si>
  <si>
    <t>Tarea estándar</t>
  </si>
  <si>
    <t>Hito de entrega / pago</t>
  </si>
  <si>
    <t>Fase del proyecto</t>
  </si>
  <si>
    <t>CRONOGRAMA FINANCIERO — PLAN DE PAGOS POR HITOS DE VALOR</t>
  </si>
  <si>
    <t>BDP S.A.M.  ·  Bs. 450,000  ·  190 días hábiles  ·  Inicio: 06/04/2026  ·  Cierre: 02/01/2027  ·  Reducción Time-to-Market: 27% mediante IA Generativa</t>
  </si>
  <si>
    <t>Hito</t>
  </si>
  <si>
    <t>Descripción del Entregable de Valor</t>
  </si>
  <si>
    <t>Fecha</t>
  </si>
  <si>
    <t>Fase / Duración</t>
  </si>
  <si>
    <t>% Contrato</t>
  </si>
  <si>
    <t>Acumulado (Bs.)</t>
  </si>
  <si>
    <t>Condición de Pago</t>
  </si>
  <si>
    <t>Aprobación del Plan de Dirección y Arquitectura Base del Sistema</t>
  </si>
  <si>
    <t>Fase 1 — 30 días</t>
  </si>
  <si>
    <t>20%</t>
  </si>
  <si>
    <t>Aprobación formal del Plan de Dirección y validación de la arquitectura por TI del BDP. El pago al Día 30 provee el capital inicial para acelerar el desarrollo con IA.</t>
  </si>
  <si>
    <t>Plataforma de Gestión de Solicitudes Crediticias — Fase Alpha</t>
  </si>
  <si>
    <t>Fase 2 — 80 días</t>
  </si>
  <si>
    <t>35%</t>
  </si>
  <si>
    <t>Módulos core en producción: autenticación, scoring y CORE API validados por analistas del BDP en ambiente SandBox. Mayor pago al hito de mayor complejidad técnica.</t>
  </si>
  <si>
    <t>Módulos de Riesgo, Seguridad y Validación Financiera — Fase Beta</t>
  </si>
  <si>
    <t>Fase 3 — 50 días</t>
  </si>
  <si>
    <t>25%</t>
  </si>
  <si>
    <t>Pruebas de seguridad certificadas, modelos financieros validados por analistas BDP y capacitación SandBox completada. Certificación de seguridad emitida.</t>
  </si>
  <si>
    <t>Sistema en Producción, Transferencia Tecnológica y Cierre del Contrato</t>
  </si>
  <si>
    <t>Fase 4 — 30 días</t>
  </si>
  <si>
    <t>Go-Live completado, documentación entregada, capacitación finalizada y Acta de Cierre firmada. El código fuente pasa a propiedad irrevocable del BDP S.A.M.</t>
  </si>
  <si>
    <t>TOTAL DEL CONTRATO</t>
  </si>
  <si>
    <t>ANÁLISIS VISUAL DEL PRESUPUESTO — PROYECTO BDP S.A.M. · 190 DÍAS · Bs. 450,000</t>
  </si>
  <si>
    <t>Rubro</t>
  </si>
  <si>
    <t>Servicios Profesionales</t>
  </si>
  <si>
    <t>H-1 (May 2026)</t>
  </si>
  <si>
    <t>Infraestructura</t>
  </si>
  <si>
    <t>H-2 (Sep 2026)</t>
  </si>
  <si>
    <t>Aseg. de Calidad</t>
  </si>
  <si>
    <t>H-3 (Nov 2026)</t>
  </si>
  <si>
    <t>Capacitación</t>
  </si>
  <si>
    <t>H-4 (Ene 2027)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</si>
</sst>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Bs.&quot;"/>
    <numFmt numFmtId="165" formatCode="0.0%"/>
  </numFmts>
  <fonts count="34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BBBBDD"/>
      <name val="Arial"/>
      <charset val="1"/>
    </font>
    <font>
      <b/>
      <sz val="10"/>
      <color rgb="FFFFFFFF"/>
      <name val="Arial"/>
      <charset val="1"/>
    </font>
    <font>
      <b/>
      <sz val="10"/>
      <color rgb="FF4A4080"/>
      <name val="Arial"/>
      <charset val="1"/>
    </font>
    <font>
      <b/>
      <sz val="10"/>
      <color rgb="FF2C2C2A"/>
      <name val="Arial"/>
      <charset val="1"/>
    </font>
    <font>
      <i/>
      <sz val="10"/>
      <color rgb="FF2C2C2A"/>
      <name val="Arial"/>
      <charset val="1"/>
    </font>
    <font>
      <b/>
      <sz val="10"/>
      <color rgb="FF0C447C"/>
      <name val="Arial"/>
      <charset val="1"/>
    </font>
    <font>
      <sz val="10"/>
      <color rgb="FF2C2C2A"/>
      <name val="Arial"/>
      <charset val="1"/>
    </font>
    <font>
      <b/>
      <sz val="10"/>
      <color rgb="FF1E1B4B"/>
      <name val="Arial"/>
      <charset val="1"/>
    </font>
    <font>
      <b/>
      <sz val="10"/>
      <color rgb="FF27500A"/>
      <name val="Arial"/>
      <charset val="1"/>
    </font>
    <font>
      <b/>
      <sz val="10"/>
      <color rgb="FF633806"/>
      <name val="Arial"/>
      <charset val="1"/>
    </font>
    <font>
      <b/>
      <sz val="12"/>
      <color rgb="FFFFFFFF"/>
      <name val="Arial"/>
      <charset val="1"/>
    </font>
    <font>
      <b/>
      <sz val="14"/>
      <color rgb="FFA78BFA"/>
      <name val="Arial"/>
      <charset val="1"/>
    </font>
    <font>
      <b/>
      <sz val="11"/>
      <color rgb="FFFFFFFF"/>
      <name val="Arial"/>
      <charset val="1"/>
    </font>
    <font>
      <i/>
      <sz val="9"/>
      <color rgb="FFAABBCC"/>
      <name val="Arial"/>
      <charset val="1"/>
    </font>
    <font>
      <i/>
      <sz val="8"/>
      <color rgb="FF5F5E5A"/>
      <name val="Arial"/>
      <charset val="1"/>
    </font>
    <font>
      <b/>
      <sz val="9"/>
      <color rgb="FFFFFFFF"/>
      <name val="Arial"/>
      <charset val="1"/>
    </font>
    <font>
      <b/>
      <sz val="7"/>
      <color rgb="FFFFFFFF"/>
      <name val="Arial"/>
      <charset val="1"/>
    </font>
    <font>
      <sz val="10"/>
      <color rgb="FF712B13"/>
      <name val="Arial"/>
      <charset val="1"/>
    </font>
    <font>
      <b/>
      <sz val="10"/>
      <color rgb="FF712B13"/>
      <name val="Arial"/>
      <charset val="1"/>
    </font>
    <font>
      <i/>
      <sz val="10"/>
      <color rgb="FF712B13"/>
      <name val="Arial"/>
      <charset val="1"/>
    </font>
    <font>
      <sz val="10"/>
      <color rgb="FF27500A"/>
      <name val="Arial"/>
      <charset val="1"/>
    </font>
    <font>
      <i/>
      <sz val="10"/>
      <color rgb="FF27500A"/>
      <name val="Arial"/>
      <charset val="1"/>
    </font>
    <font>
      <i/>
      <sz val="10"/>
      <color rgb="FF4A4080"/>
      <name val="Arial"/>
      <charset val="1"/>
    </font>
    <font>
      <sz val="10"/>
      <color rgb="FF4A4080"/>
      <name val="Arial"/>
      <charset val="1"/>
    </font>
    <font>
      <sz val="9"/>
      <color rgb="FF712B13"/>
      <name val="Arial"/>
      <charset val="1"/>
    </font>
    <font>
      <sz val="9"/>
      <color rgb="FF27500A"/>
      <name val="Arial"/>
      <charset val="1"/>
    </font>
    <font>
      <sz val="9"/>
      <color rgb="FF4A4080"/>
      <name val="Arial"/>
      <charset val="1"/>
    </font>
    <font>
      <sz val="9"/>
      <color rgb="FFFFFFFF"/>
      <name val="Arial"/>
      <charset val="1"/>
    </font>
    <font>
      <b/>
      <sz val="11"/>
      <color rgb="FF4A4080"/>
      <name val="Arial"/>
      <charset val="1"/>
    </font>
    <font>
      <b/>
      <sz val="11"/>
      <color rgb="FF0C447C"/>
      <name val="Arial"/>
      <charset val="1"/>
    </font>
    <font>
      <b/>
      <sz val="11"/>
      <color rgb="FF1E1B4B"/>
      <name val="Arial"/>
      <charset val="1"/>
    </font>
    <font>
      <b/>
      <sz val="13"/>
      <color rgb="FFA78BFA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E1B4B"/>
        <bgColor rgb="FF2D2B5E"/>
      </patternFill>
    </fill>
    <fill>
      <patternFill patternType="solid">
        <fgColor rgb="FF6B5FBB"/>
        <bgColor rgb="FF7C6FBF"/>
      </patternFill>
    </fill>
    <fill>
      <patternFill patternType="solid">
        <fgColor rgb="FFEEEDFE"/>
        <bgColor rgb="FFF8F7FF"/>
      </patternFill>
    </fill>
    <fill>
      <patternFill patternType="solid">
        <fgColor rgb="FFDBEAFE"/>
        <bgColor rgb="FFEEEDFE"/>
      </patternFill>
    </fill>
    <fill>
      <patternFill patternType="solid">
        <fgColor rgb="FFD8D4F5"/>
        <bgColor rgb="FFD9D9D9"/>
      </patternFill>
    </fill>
    <fill>
      <patternFill patternType="solid">
        <fgColor rgb="FFEAF3DE"/>
        <bgColor rgb="FFFAEEDA"/>
      </patternFill>
    </fill>
    <fill>
      <patternFill patternType="solid">
        <fgColor rgb="FFFAEEDA"/>
        <bgColor rgb="FFFAECE7"/>
      </patternFill>
    </fill>
    <fill>
      <patternFill patternType="solid">
        <fgColor rgb="FFD4EED4"/>
        <bgColor rgb="FFEAF3DE"/>
      </patternFill>
    </fill>
    <fill>
      <patternFill patternType="solid">
        <fgColor rgb="FFFAE5C0"/>
        <bgColor rgb="FFFAEEDA"/>
      </patternFill>
    </fill>
    <fill>
      <patternFill patternType="solid">
        <fgColor rgb="FF2D2B5E"/>
        <bgColor rgb="FF1E1B4B"/>
      </patternFill>
    </fill>
    <fill>
      <patternFill patternType="solid">
        <fgColor rgb="FFFAECE7"/>
        <bgColor rgb="FFFAEEDA"/>
      </patternFill>
    </fill>
    <fill>
      <patternFill patternType="solid">
        <fgColor rgb="FFD85A30"/>
        <bgColor rgb="FFD97706"/>
      </patternFill>
    </fill>
    <fill>
      <patternFill patternType="solid">
        <fgColor rgb="FFF8F7FF"/>
        <bgColor rgb="FFF9F9F9"/>
      </patternFill>
    </fill>
    <fill>
      <patternFill patternType="solid">
        <fgColor rgb="FF1D9E75"/>
        <bgColor rgb="FF008080"/>
      </patternFill>
    </fill>
  </fills>
  <borders count="5">
    <border>
      <left/>
      <right/>
      <top/>
      <bottom/>
      <diagonal/>
    </border>
    <border>
      <left style="thin">
        <color rgb="FFCCCCDD"/>
      </left>
      <right style="thin">
        <color rgb="FFCCCCDD"/>
      </right>
      <top style="thin">
        <color rgb="FFCCCCDD"/>
      </top>
      <bottom style="thin">
        <color rgb="FFCCCCDD"/>
      </bottom>
      <diagonal/>
    </border>
    <border>
      <left style="thin">
        <color rgb="FFCCCCDD"/>
      </left>
      <right/>
      <top style="thin">
        <color rgb="FFCCCCDD"/>
      </top>
      <bottom style="thin">
        <color rgb="FFCCCCDD"/>
      </bottom>
      <diagonal/>
    </border>
    <border>
      <left style="medium">
        <color rgb="FF4A4080"/>
      </left>
      <right/>
      <top style="medium">
        <color rgb="FF4A4080"/>
      </top>
      <bottom style="medium">
        <color rgb="FF4A4080"/>
      </bottom>
      <diagonal/>
    </border>
    <border>
      <left style="medium">
        <color rgb="FF4A4080"/>
      </left>
      <right style="medium">
        <color rgb="FF4A4080"/>
      </right>
      <top style="medium">
        <color rgb="FF4A4080"/>
      </top>
      <bottom style="medium">
        <color rgb="FF4A408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9" fillId="0" borderId="2" xfId="0" applyFont="1" applyBorder="1"/>
    <xf numFmtId="0" fontId="3" fillId="2" borderId="2" xfId="0" applyFont="1" applyFill="1" applyBorder="1" applyAlignment="1">
      <alignment horizontal="left" vertical="center" indent="1"/>
    </xf>
    <xf numFmtId="0" fontId="16" fillId="0" borderId="0" xfId="0" applyFont="1" applyBorder="1" applyAlignment="1">
      <alignment horizontal="left" vertical="center" wrapText="1"/>
    </xf>
    <xf numFmtId="0" fontId="12" fillId="2" borderId="3" xfId="0" applyFont="1" applyFill="1" applyBorder="1" applyAlignment="1">
      <alignment horizontal="right" vertical="center"/>
    </xf>
    <xf numFmtId="0" fontId="9" fillId="10" borderId="2" xfId="0" applyFont="1" applyFill="1" applyBorder="1" applyAlignment="1">
      <alignment horizontal="right" vertical="center" indent="1"/>
    </xf>
    <xf numFmtId="0" fontId="9" fillId="9" borderId="2" xfId="0" applyFont="1" applyFill="1" applyBorder="1" applyAlignment="1">
      <alignment horizontal="right" vertical="center" indent="1"/>
    </xf>
    <xf numFmtId="0" fontId="9" fillId="6" borderId="2" xfId="0" applyFont="1" applyFill="1" applyBorder="1" applyAlignment="1">
      <alignment horizontal="right" vertical="center" indent="1"/>
    </xf>
    <xf numFmtId="0" fontId="4" fillId="4" borderId="2" xfId="0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right" vertical="center"/>
    </xf>
    <xf numFmtId="165" fontId="8" fillId="5" borderId="1" xfId="0" applyNumberFormat="1" applyFont="1" applyFill="1" applyBorder="1" applyAlignment="1">
      <alignment horizontal="right" vertical="center"/>
    </xf>
    <xf numFmtId="164" fontId="9" fillId="6" borderId="1" xfId="0" applyNumberFormat="1" applyFont="1" applyFill="1" applyBorder="1" applyAlignment="1">
      <alignment horizontal="right" vertical="center"/>
    </xf>
    <xf numFmtId="165" fontId="9" fillId="6" borderId="1" xfId="0" applyNumberFormat="1" applyFont="1" applyFill="1" applyBorder="1" applyAlignment="1">
      <alignment horizontal="right" vertical="center"/>
    </xf>
    <xf numFmtId="0" fontId="0" fillId="6" borderId="1" xfId="0" applyFill="1" applyBorder="1"/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164" fontId="10" fillId="7" borderId="1" xfId="0" applyNumberFormat="1" applyFont="1" applyFill="1" applyBorder="1" applyAlignment="1">
      <alignment horizontal="right" vertical="center"/>
    </xf>
    <xf numFmtId="165" fontId="8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164" fontId="11" fillId="8" borderId="1" xfId="0" applyNumberFormat="1" applyFont="1" applyFill="1" applyBorder="1" applyAlignment="1">
      <alignment horizontal="right" vertical="center"/>
    </xf>
    <xf numFmtId="165" fontId="8" fillId="8" borderId="1" xfId="0" applyNumberFormat="1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164" fontId="9" fillId="9" borderId="1" xfId="0" applyNumberFormat="1" applyFont="1" applyFill="1" applyBorder="1" applyAlignment="1">
      <alignment horizontal="right" vertical="center"/>
    </xf>
    <xf numFmtId="165" fontId="9" fillId="9" borderId="1" xfId="0" applyNumberFormat="1" applyFont="1" applyFill="1" applyBorder="1" applyAlignment="1">
      <alignment horizontal="right" vertical="center"/>
    </xf>
    <xf numFmtId="0" fontId="0" fillId="9" borderId="1" xfId="0" applyFill="1" applyBorder="1"/>
    <xf numFmtId="0" fontId="11" fillId="8" borderId="1" xfId="0" applyFont="1" applyFill="1" applyBorder="1" applyAlignment="1">
      <alignment horizontal="center" vertical="center" wrapText="1"/>
    </xf>
    <xf numFmtId="164" fontId="9" fillId="10" borderId="1" xfId="0" applyNumberFormat="1" applyFont="1" applyFill="1" applyBorder="1" applyAlignment="1">
      <alignment horizontal="right" vertical="center"/>
    </xf>
    <xf numFmtId="165" fontId="9" fillId="10" borderId="1" xfId="0" applyNumberFormat="1" applyFont="1" applyFill="1" applyBorder="1" applyAlignment="1">
      <alignment horizontal="right" vertical="center"/>
    </xf>
    <xf numFmtId="0" fontId="0" fillId="10" borderId="1" xfId="0" applyFill="1" applyBorder="1"/>
    <xf numFmtId="164" fontId="13" fillId="2" borderId="4" xfId="0" applyNumberFormat="1" applyFont="1" applyFill="1" applyBorder="1" applyAlignment="1">
      <alignment horizontal="right" vertical="center"/>
    </xf>
    <xf numFmtId="9" fontId="14" fillId="2" borderId="4" xfId="0" applyNumberFormat="1" applyFont="1" applyFill="1" applyBorder="1" applyAlignment="1">
      <alignment horizontal="right" vertical="center"/>
    </xf>
    <xf numFmtId="0" fontId="15" fillId="2" borderId="4" xfId="0" applyFont="1" applyFill="1" applyBorder="1" applyAlignment="1">
      <alignment horizontal="left" vertical="center" wrapText="1"/>
    </xf>
    <xf numFmtId="3" fontId="0" fillId="0" borderId="0" xfId="0" applyNumberFormat="1"/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19" fillId="12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left" vertical="center" wrapText="1"/>
    </xf>
    <xf numFmtId="0" fontId="21" fillId="12" borderId="1" xfId="0" applyFont="1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left" vertical="center" wrapText="1"/>
    </xf>
    <xf numFmtId="0" fontId="0" fillId="15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horizontal="left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left" vertical="center" indent="1"/>
    </xf>
    <xf numFmtId="0" fontId="27" fillId="7" borderId="1" xfId="0" applyFont="1" applyFill="1" applyBorder="1" applyAlignment="1">
      <alignment horizontal="left" vertical="center" indent="1"/>
    </xf>
    <xf numFmtId="0" fontId="28" fillId="4" borderId="1" xfId="0" applyFont="1" applyFill="1" applyBorder="1" applyAlignment="1">
      <alignment horizontal="left" vertical="center" indent="1"/>
    </xf>
    <xf numFmtId="0" fontId="29" fillId="2" borderId="1" xfId="0" applyFont="1" applyFill="1" applyBorder="1" applyAlignment="1">
      <alignment horizontal="left" vertical="center" indent="1"/>
    </xf>
    <xf numFmtId="0" fontId="8" fillId="5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/>
    </xf>
    <xf numFmtId="164" fontId="31" fillId="5" borderId="1" xfId="0" applyNumberFormat="1" applyFont="1" applyFill="1" applyBorder="1" applyAlignment="1">
      <alignment horizontal="right" vertical="center"/>
    </xf>
    <xf numFmtId="164" fontId="32" fillId="5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/>
    </xf>
    <xf numFmtId="164" fontId="31" fillId="4" borderId="1" xfId="0" applyNumberFormat="1" applyFont="1" applyFill="1" applyBorder="1" applyAlignment="1">
      <alignment horizontal="right" vertical="center"/>
    </xf>
    <xf numFmtId="164" fontId="32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/>
    </xf>
    <xf numFmtId="164" fontId="31" fillId="7" borderId="1" xfId="0" applyNumberFormat="1" applyFont="1" applyFill="1" applyBorder="1" applyAlignment="1">
      <alignment horizontal="right" vertical="center"/>
    </xf>
    <xf numFmtId="164" fontId="32" fillId="7" borderId="1" xfId="0" applyNumberFormat="1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center" vertical="center" wrapText="1"/>
    </xf>
    <xf numFmtId="0" fontId="30" fillId="8" borderId="1" xfId="0" applyFont="1" applyFill="1" applyBorder="1" applyAlignment="1">
      <alignment horizontal="center" vertical="center"/>
    </xf>
    <xf numFmtId="164" fontId="31" fillId="8" borderId="1" xfId="0" applyNumberFormat="1" applyFont="1" applyFill="1" applyBorder="1" applyAlignment="1">
      <alignment horizontal="right" vertical="center"/>
    </xf>
    <xf numFmtId="164" fontId="32" fillId="8" borderId="1" xfId="0" applyNumberFormat="1" applyFont="1" applyFill="1" applyBorder="1" applyAlignment="1">
      <alignment horizontal="right" vertical="center"/>
    </xf>
    <xf numFmtId="164" fontId="33" fillId="2" borderId="4" xfId="0" applyNumberFormat="1" applyFont="1" applyFill="1" applyBorder="1" applyAlignment="1">
      <alignment horizontal="right" vertical="center"/>
    </xf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9F9F9"/>
      <rgbColor rgb="FFFF00FF"/>
      <rgbColor rgb="FF00FFFF"/>
      <rgbColor rgb="FF800000"/>
      <rgbColor rgb="FF008000"/>
      <rgbColor rgb="FF1E1B4B"/>
      <rgbColor rgb="FF5F5E5A"/>
      <rgbColor rgb="FF800080"/>
      <rgbColor rgb="FF4F81BD"/>
      <rgbColor rgb="FFBBBBDD"/>
      <rgbColor rgb="FF878787"/>
      <rgbColor rgb="FFA78BFA"/>
      <rgbColor rgb="FF633806"/>
      <rgbColor rgb="FFFAEEDA"/>
      <rgbColor rgb="FFDBEAFE"/>
      <rgbColor rgb="FF660066"/>
      <rgbColor rgb="FFD85A30"/>
      <rgbColor rgb="FF0066CC"/>
      <rgbColor rgb="FFD8D4F5"/>
      <rgbColor rgb="FF000080"/>
      <rgbColor rgb="FFFF00FF"/>
      <rgbColor rgb="FFF8F7FF"/>
      <rgbColor rgb="FF00FFFF"/>
      <rgbColor rgb="FF800080"/>
      <rgbColor rgb="FF800000"/>
      <rgbColor rgb="FF008080"/>
      <rgbColor rgb="FF0000FF"/>
      <rgbColor rgb="FF00CCFF"/>
      <rgbColor rgb="FFEAF3DE"/>
      <rgbColor rgb="FFD4EED4"/>
      <rgbColor rgb="FFFAECE7"/>
      <rgbColor rgb="FFAABBCC"/>
      <rgbColor rgb="FFD9D9D9"/>
      <rgbColor rgb="FFCCCCDD"/>
      <rgbColor rgb="FFFAE5C0"/>
      <rgbColor rgb="FF2563EB"/>
      <rgbColor rgb="FF33CCCC"/>
      <rgbColor rgb="FF99CC00"/>
      <rgbColor rgb="FFEEEDFE"/>
      <rgbColor rgb="FFFF9900"/>
      <rgbColor rgb="FFD97706"/>
      <rgbColor rgb="FF6B5FBB"/>
      <rgbColor rgb="FF7C6FBF"/>
      <rgbColor rgb="FF0C447C"/>
      <rgbColor rgb="FF1D9E75"/>
      <rgbColor rgb="FF2D2B5E"/>
      <rgbColor rgb="FF27500A"/>
      <rgbColor rgb="FF712B13"/>
      <rgbColor rgb="FF4A4080"/>
      <rgbColor rgb="FF3C3489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BO" sz="1800" b="1" strike="noStrike" spc="-1">
                <a:solidFill>
                  <a:srgbClr val="000000"/>
                </a:solidFill>
                <a:latin typeface="Calibri"/>
              </a:rPr>
              <a:t>Distribución del Presupuesto por Rubro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Gráficos!$Q$3</c:f>
              <c:strCache>
                <c:ptCount val="1"/>
                <c:pt idx="0">
                  <c:v>Monto (Bs.)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A408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A1BA-4EA8-B0A8-A199ACFE2932}"/>
              </c:ext>
            </c:extLst>
          </c:dPt>
          <c:dPt>
            <c:idx val="1"/>
            <c:bubble3D val="0"/>
            <c:spPr>
              <a:solidFill>
                <a:srgbClr val="1D9E7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A1BA-4EA8-B0A8-A199ACFE2932}"/>
              </c:ext>
            </c:extLst>
          </c:dPt>
          <c:dPt>
            <c:idx val="2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A1BA-4EA8-B0A8-A199ACFE2932}"/>
              </c:ext>
            </c:extLst>
          </c:dPt>
          <c:dPt>
            <c:idx val="3"/>
            <c:bubble3D val="0"/>
            <c:spPr>
              <a:solidFill>
                <a:srgbClr val="D9770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A1BA-4EA8-B0A8-A199ACFE2932}"/>
              </c:ext>
            </c:extLst>
          </c:dPt>
          <c:dPt>
            <c:idx val="4"/>
            <c:bubble3D val="0"/>
            <c:spPr>
              <a:solidFill>
                <a:srgbClr val="DC262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A1BA-4EA8-B0A8-A199ACFE293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B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1BA-4EA8-B0A8-A199ACFE293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B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1BA-4EA8-B0A8-A199ACFE2932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B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1BA-4EA8-B0A8-A199ACFE2932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B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A1BA-4EA8-B0A8-A199ACFE2932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B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A1BA-4EA8-B0A8-A199ACFE29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Gráficos!$P$4:$P$8</c:f>
              <c:strCache>
                <c:ptCount val="5"/>
                <c:pt idx="0">
                  <c:v>Servicios Profesionales</c:v>
                </c:pt>
                <c:pt idx="1">
                  <c:v>Infraestructura</c:v>
                </c:pt>
                <c:pt idx="2">
                  <c:v>Aseg. de Calidad</c:v>
                </c:pt>
                <c:pt idx="3">
                  <c:v>Capacitación</c:v>
                </c:pt>
                <c:pt idx="4">
                  <c:v>Reserva</c:v>
                </c:pt>
              </c:strCache>
            </c:strRef>
          </c:cat>
          <c:val>
            <c:numRef>
              <c:f>Gráficos!$Q$4:$Q$8</c:f>
              <c:numCache>
                <c:formatCode>General</c:formatCode>
                <c:ptCount val="5"/>
                <c:pt idx="0">
                  <c:v>300000</c:v>
                </c:pt>
                <c:pt idx="1">
                  <c:v>53000</c:v>
                </c:pt>
                <c:pt idx="2">
                  <c:v>44000</c:v>
                </c:pt>
                <c:pt idx="3">
                  <c:v>31000</c:v>
                </c:pt>
                <c:pt idx="4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1BA-4EA8-B0A8-A199ACFE2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B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BO" sz="1800" b="1" strike="noStrike" spc="-1">
                <a:solidFill>
                  <a:srgbClr val="000000"/>
                </a:solidFill>
                <a:latin typeface="Calibri"/>
              </a:rPr>
              <a:t>Presupuesto por Rubro (Bs.)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Gráficos!$Q$3</c:f>
              <c:strCache>
                <c:ptCount val="1"/>
                <c:pt idx="0">
                  <c:v>Monto (Bs.)</c:v>
                </c:pt>
              </c:strCache>
            </c:strRef>
          </c:tx>
          <c:spPr>
            <a:solidFill>
              <a:srgbClr val="4A4080"/>
            </a:solidFill>
            <a:ln w="9360">
              <a:solidFill>
                <a:srgbClr val="3C348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Gráficos!$P$4:$P$8</c:f>
              <c:strCache>
                <c:ptCount val="5"/>
                <c:pt idx="0">
                  <c:v>Servicios Profesionales</c:v>
                </c:pt>
                <c:pt idx="1">
                  <c:v>Infraestructura</c:v>
                </c:pt>
                <c:pt idx="2">
                  <c:v>Aseg. de Calidad</c:v>
                </c:pt>
                <c:pt idx="3">
                  <c:v>Capacitación</c:v>
                </c:pt>
                <c:pt idx="4">
                  <c:v>Reserva</c:v>
                </c:pt>
              </c:strCache>
            </c:strRef>
          </c:cat>
          <c:val>
            <c:numRef>
              <c:f>Gráficos!$Q$4:$Q$8</c:f>
              <c:numCache>
                <c:formatCode>General</c:formatCode>
                <c:ptCount val="5"/>
                <c:pt idx="0">
                  <c:v>300000</c:v>
                </c:pt>
                <c:pt idx="1">
                  <c:v>53000</c:v>
                </c:pt>
                <c:pt idx="2">
                  <c:v>44000</c:v>
                </c:pt>
                <c:pt idx="3">
                  <c:v>31000</c:v>
                </c:pt>
                <c:pt idx="4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5-4F8C-BEDF-EDE8E78AA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13407"/>
        <c:axId val="76106519"/>
      </c:barChart>
      <c:catAx>
        <c:axId val="1771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BO"/>
          </a:p>
        </c:txPr>
        <c:crossAx val="76106519"/>
        <c:crosses val="autoZero"/>
        <c:auto val="1"/>
        <c:lblAlgn val="ctr"/>
        <c:lblOffset val="100"/>
        <c:noMultiLvlLbl val="0"/>
      </c:catAx>
      <c:valAx>
        <c:axId val="761065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BO" sz="1000" b="1" strike="noStrike" spc="-1">
                    <a:solidFill>
                      <a:srgbClr val="000000"/>
                    </a:solidFill>
                    <a:latin typeface="Calibri"/>
                  </a:rPr>
                  <a:t>Bolivianos (Bs.)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BO"/>
          </a:p>
        </c:txPr>
        <c:crossAx val="177134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B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BO" sz="1800" b="1" strike="noStrike" spc="-1">
                <a:solidFill>
                  <a:srgbClr val="000000"/>
                </a:solidFill>
                <a:latin typeface="Calibri"/>
              </a:rPr>
              <a:t>Curva S — Desembolso Acumulado por Hito (190 días)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78121979279922"/>
          <c:y val="0.14288677725235147"/>
          <c:w val="0.67072057773762517"/>
          <c:h val="0.79625373447151715"/>
        </c:manualLayout>
      </c:layout>
      <c:lineChart>
        <c:grouping val="standard"/>
        <c:varyColors val="0"/>
        <c:ser>
          <c:idx val="0"/>
          <c:order val="0"/>
          <c:tx>
            <c:strRef>
              <c:f>Gráficos!$T$3</c:f>
              <c:strCache>
                <c:ptCount val="1"/>
                <c:pt idx="0">
                  <c:v>Acumulado (Bs.)</c:v>
                </c:pt>
              </c:strCache>
            </c:strRef>
          </c:tx>
          <c:spPr>
            <a:ln w="24840">
              <a:solidFill>
                <a:srgbClr val="7C6FB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Gráficos!$S$4:$S$7</c:f>
              <c:strCache>
                <c:ptCount val="4"/>
                <c:pt idx="0">
                  <c:v>H-1 (May 2026)</c:v>
                </c:pt>
                <c:pt idx="1">
                  <c:v>H-2 (Sep 2026)</c:v>
                </c:pt>
                <c:pt idx="2">
                  <c:v>H-3 (Nov 2026)</c:v>
                </c:pt>
                <c:pt idx="3">
                  <c:v>H-4 (Ene 2027)</c:v>
                </c:pt>
              </c:strCache>
            </c:strRef>
          </c:cat>
          <c:val>
            <c:numRef>
              <c:f>Gráficos!$T$4:$T$7</c:f>
              <c:numCache>
                <c:formatCode>General</c:formatCode>
                <c:ptCount val="4"/>
                <c:pt idx="0">
                  <c:v>90000</c:v>
                </c:pt>
                <c:pt idx="1">
                  <c:v>247500</c:v>
                </c:pt>
                <c:pt idx="2">
                  <c:v>360000</c:v>
                </c:pt>
                <c:pt idx="3">
                  <c:v>450000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1E-4287-9B2F-9FA6FAA3D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7085657"/>
        <c:axId val="7340572"/>
      </c:lineChart>
      <c:catAx>
        <c:axId val="770856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BO"/>
          </a:p>
        </c:txPr>
        <c:crossAx val="7340572"/>
        <c:crosses val="autoZero"/>
        <c:auto val="1"/>
        <c:lblAlgn val="ctr"/>
        <c:lblOffset val="100"/>
        <c:noMultiLvlLbl val="0"/>
      </c:catAx>
      <c:valAx>
        <c:axId val="73405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BO" sz="1000" b="1" strike="noStrike" spc="-1">
                    <a:solidFill>
                      <a:srgbClr val="000000"/>
                    </a:solidFill>
                    <a:latin typeface="Calibri"/>
                  </a:rPr>
                  <a:t>Monto Acumulado (Bs.)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BO"/>
          </a:p>
        </c:txPr>
        <c:crossAx val="770856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B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147600</xdr:colOff>
      <xdr:row>24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294967</xdr:colOff>
      <xdr:row>1</xdr:row>
      <xdr:rowOff>172065</xdr:rowOff>
    </xdr:from>
    <xdr:to>
      <xdr:col>14</xdr:col>
      <xdr:colOff>24579</xdr:colOff>
      <xdr:row>20</xdr:row>
      <xdr:rowOff>122903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159773</xdr:rowOff>
    </xdr:from>
    <xdr:to>
      <xdr:col>11</xdr:col>
      <xdr:colOff>473040</xdr:colOff>
      <xdr:row>47</xdr:row>
      <xdr:rowOff>103939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4.4" x14ac:dyDescent="0.3"/>
  <cols>
    <col min="1" max="1" width="8" customWidth="1"/>
    <col min="2" max="2" width="34" customWidth="1"/>
    <col min="3" max="3" width="44" customWidth="1"/>
    <col min="4" max="4" width="13" customWidth="1"/>
    <col min="5" max="5" width="15" customWidth="1"/>
    <col min="6" max="6" width="12" customWidth="1"/>
    <col min="7" max="7" width="34" customWidth="1"/>
  </cols>
  <sheetData>
    <row r="1" spans="1:7" ht="37.5" customHeight="1" x14ac:dyDescent="0.3">
      <c r="A1" s="10" t="s">
        <v>0</v>
      </c>
      <c r="B1" s="10"/>
      <c r="C1" s="10"/>
      <c r="D1" s="10"/>
      <c r="E1" s="10"/>
      <c r="F1" s="10"/>
      <c r="G1" s="10"/>
    </row>
    <row r="2" spans="1:7" ht="18" customHeight="1" x14ac:dyDescent="0.3">
      <c r="A2" s="9" t="s">
        <v>1</v>
      </c>
      <c r="B2" s="9"/>
      <c r="C2" s="9"/>
      <c r="D2" s="9"/>
      <c r="E2" s="9"/>
      <c r="F2" s="9"/>
      <c r="G2" s="9"/>
    </row>
    <row r="3" spans="1:7" ht="21.7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</row>
    <row r="4" spans="1:7" ht="18" customHeight="1" x14ac:dyDescent="0.3">
      <c r="A4" s="8" t="s">
        <v>9</v>
      </c>
      <c r="B4" s="8"/>
      <c r="C4" s="8"/>
      <c r="D4" s="8"/>
      <c r="E4" s="8"/>
      <c r="F4" s="8"/>
      <c r="G4" s="8"/>
    </row>
    <row r="5" spans="1:7" ht="39.75" customHeight="1" x14ac:dyDescent="0.3">
      <c r="A5" s="12" t="s">
        <v>10</v>
      </c>
      <c r="B5" s="13" t="s">
        <v>11</v>
      </c>
      <c r="C5" s="14" t="s">
        <v>12</v>
      </c>
      <c r="D5" s="15" t="s">
        <v>13</v>
      </c>
      <c r="E5" s="16">
        <v>54000</v>
      </c>
      <c r="F5" s="17">
        <f>E5/$E$99</f>
        <v>0.12</v>
      </c>
      <c r="G5" s="14" t="s">
        <v>14</v>
      </c>
    </row>
    <row r="6" spans="1:7" ht="39.75" customHeight="1" x14ac:dyDescent="0.3">
      <c r="A6" s="12" t="s">
        <v>15</v>
      </c>
      <c r="B6" s="13" t="s">
        <v>16</v>
      </c>
      <c r="C6" s="14" t="s">
        <v>17</v>
      </c>
      <c r="D6" s="15" t="s">
        <v>13</v>
      </c>
      <c r="E6" s="16">
        <v>86000</v>
      </c>
      <c r="F6" s="17">
        <f>E6/$E$99</f>
        <v>0.19111111111111112</v>
      </c>
      <c r="G6" s="14" t="s">
        <v>18</v>
      </c>
    </row>
    <row r="7" spans="1:7" ht="39.75" customHeight="1" x14ac:dyDescent="0.3">
      <c r="A7" s="12" t="s">
        <v>19</v>
      </c>
      <c r="B7" s="13" t="s">
        <v>20</v>
      </c>
      <c r="C7" s="14" t="s">
        <v>21</v>
      </c>
      <c r="D7" s="15" t="s">
        <v>13</v>
      </c>
      <c r="E7" s="16">
        <v>86000</v>
      </c>
      <c r="F7" s="17">
        <f>E7/$E$99</f>
        <v>0.19111111111111112</v>
      </c>
      <c r="G7" s="14" t="s">
        <v>22</v>
      </c>
    </row>
    <row r="8" spans="1:7" ht="39.75" customHeight="1" x14ac:dyDescent="0.3">
      <c r="A8" s="12" t="s">
        <v>23</v>
      </c>
      <c r="B8" s="13" t="s">
        <v>24</v>
      </c>
      <c r="C8" s="14" t="s">
        <v>25</v>
      </c>
      <c r="D8" s="15" t="s">
        <v>13</v>
      </c>
      <c r="E8" s="16">
        <v>74000</v>
      </c>
      <c r="F8" s="17">
        <f>E8/$E$99</f>
        <v>0.16444444444444445</v>
      </c>
      <c r="G8" s="14" t="s">
        <v>26</v>
      </c>
    </row>
    <row r="9" spans="1:7" ht="19.5" customHeight="1" x14ac:dyDescent="0.3">
      <c r="A9" s="7" t="s">
        <v>27</v>
      </c>
      <c r="B9" s="7"/>
      <c r="C9" s="7"/>
      <c r="D9" s="7"/>
      <c r="E9" s="18">
        <f>SUM(E5:E8)</f>
        <v>300000</v>
      </c>
      <c r="F9" s="19">
        <f>E9/$E$99</f>
        <v>0.66666666666666663</v>
      </c>
      <c r="G9" s="20"/>
    </row>
    <row r="10" spans="1:7" ht="18" customHeight="1" x14ac:dyDescent="0.3">
      <c r="A10" s="8" t="s">
        <v>28</v>
      </c>
      <c r="B10" s="8"/>
      <c r="C10" s="8"/>
      <c r="D10" s="8"/>
      <c r="E10" s="8"/>
      <c r="F10" s="8"/>
      <c r="G10" s="8"/>
    </row>
    <row r="11" spans="1:7" ht="39.75" customHeight="1" x14ac:dyDescent="0.3">
      <c r="A11" s="21" t="s">
        <v>29</v>
      </c>
      <c r="B11" s="22" t="s">
        <v>30</v>
      </c>
      <c r="C11" s="23" t="s">
        <v>31</v>
      </c>
      <c r="D11" s="15" t="s">
        <v>13</v>
      </c>
      <c r="E11" s="24">
        <v>27000</v>
      </c>
      <c r="F11" s="25">
        <f>E11/$E$99</f>
        <v>0.06</v>
      </c>
      <c r="G11" s="23" t="s">
        <v>32</v>
      </c>
    </row>
    <row r="12" spans="1:7" ht="39.75" customHeight="1" x14ac:dyDescent="0.3">
      <c r="A12" s="21" t="s">
        <v>33</v>
      </c>
      <c r="B12" s="22" t="s">
        <v>34</v>
      </c>
      <c r="C12" s="23" t="s">
        <v>35</v>
      </c>
      <c r="D12" s="15" t="s">
        <v>13</v>
      </c>
      <c r="E12" s="24">
        <v>16000</v>
      </c>
      <c r="F12" s="25">
        <f>E12/$E$99</f>
        <v>3.5555555555555556E-2</v>
      </c>
      <c r="G12" s="23" t="s">
        <v>36</v>
      </c>
    </row>
    <row r="13" spans="1:7" ht="39.75" customHeight="1" x14ac:dyDescent="0.3">
      <c r="A13" s="21" t="s">
        <v>37</v>
      </c>
      <c r="B13" s="22" t="s">
        <v>38</v>
      </c>
      <c r="C13" s="23" t="s">
        <v>39</v>
      </c>
      <c r="D13" s="15" t="s">
        <v>13</v>
      </c>
      <c r="E13" s="24">
        <v>10000</v>
      </c>
      <c r="F13" s="25">
        <f>E13/$E$99</f>
        <v>2.2222222222222223E-2</v>
      </c>
      <c r="G13" s="23" t="s">
        <v>40</v>
      </c>
    </row>
    <row r="14" spans="1:7" ht="19.5" customHeight="1" x14ac:dyDescent="0.3">
      <c r="A14" s="7" t="s">
        <v>41</v>
      </c>
      <c r="B14" s="7"/>
      <c r="C14" s="7"/>
      <c r="D14" s="7"/>
      <c r="E14" s="18">
        <f>SUM(E11:E13)</f>
        <v>53000</v>
      </c>
      <c r="F14" s="19">
        <f>E14/$E$99</f>
        <v>0.11777777777777777</v>
      </c>
      <c r="G14" s="20"/>
    </row>
    <row r="15" spans="1:7" ht="18" customHeight="1" x14ac:dyDescent="0.3">
      <c r="A15" s="8" t="s">
        <v>42</v>
      </c>
      <c r="B15" s="8"/>
      <c r="C15" s="8"/>
      <c r="D15" s="8"/>
      <c r="E15" s="8"/>
      <c r="F15" s="8"/>
      <c r="G15" s="8"/>
    </row>
    <row r="16" spans="1:7" ht="39.75" customHeight="1" x14ac:dyDescent="0.3">
      <c r="A16" s="12" t="s">
        <v>43</v>
      </c>
      <c r="B16" s="13" t="s">
        <v>44</v>
      </c>
      <c r="C16" s="14" t="s">
        <v>45</v>
      </c>
      <c r="D16" s="15" t="s">
        <v>13</v>
      </c>
      <c r="E16" s="16">
        <v>22000</v>
      </c>
      <c r="F16" s="17">
        <f>E16/$E$99</f>
        <v>4.8888888888888891E-2</v>
      </c>
      <c r="G16" s="14" t="s">
        <v>46</v>
      </c>
    </row>
    <row r="17" spans="1:7" ht="39.75" customHeight="1" x14ac:dyDescent="0.3">
      <c r="A17" s="12" t="s">
        <v>47</v>
      </c>
      <c r="B17" s="13" t="s">
        <v>48</v>
      </c>
      <c r="C17" s="14" t="s">
        <v>49</v>
      </c>
      <c r="D17" s="15" t="s">
        <v>13</v>
      </c>
      <c r="E17" s="16">
        <v>13000</v>
      </c>
      <c r="F17" s="17">
        <f>E17/$E$99</f>
        <v>2.8888888888888888E-2</v>
      </c>
      <c r="G17" s="14" t="s">
        <v>50</v>
      </c>
    </row>
    <row r="18" spans="1:7" ht="39.75" customHeight="1" x14ac:dyDescent="0.3">
      <c r="A18" s="12" t="s">
        <v>51</v>
      </c>
      <c r="B18" s="13" t="s">
        <v>52</v>
      </c>
      <c r="C18" s="14" t="s">
        <v>53</v>
      </c>
      <c r="D18" s="15" t="s">
        <v>13</v>
      </c>
      <c r="E18" s="16">
        <v>9000</v>
      </c>
      <c r="F18" s="17">
        <f>E18/$E$99</f>
        <v>0.02</v>
      </c>
      <c r="G18" s="14" t="s">
        <v>54</v>
      </c>
    </row>
    <row r="19" spans="1:7" ht="19.5" customHeight="1" x14ac:dyDescent="0.3">
      <c r="A19" s="7" t="s">
        <v>55</v>
      </c>
      <c r="B19" s="7"/>
      <c r="C19" s="7"/>
      <c r="D19" s="7"/>
      <c r="E19" s="18">
        <f>SUM(E16:E18)</f>
        <v>44000</v>
      </c>
      <c r="F19" s="19">
        <f>E19/$E$99</f>
        <v>9.7777777777777783E-2</v>
      </c>
      <c r="G19" s="20"/>
    </row>
    <row r="20" spans="1:7" ht="18" customHeight="1" x14ac:dyDescent="0.3">
      <c r="A20" s="8" t="s">
        <v>56</v>
      </c>
      <c r="B20" s="8"/>
      <c r="C20" s="8"/>
      <c r="D20" s="8"/>
      <c r="E20" s="8"/>
      <c r="F20" s="8"/>
      <c r="G20" s="8"/>
    </row>
    <row r="21" spans="1:7" ht="39.75" customHeight="1" x14ac:dyDescent="0.3">
      <c r="A21" s="26" t="s">
        <v>57</v>
      </c>
      <c r="B21" s="27" t="s">
        <v>58</v>
      </c>
      <c r="C21" s="28" t="s">
        <v>59</v>
      </c>
      <c r="D21" s="15" t="s">
        <v>13</v>
      </c>
      <c r="E21" s="29">
        <v>15000</v>
      </c>
      <c r="F21" s="30">
        <f>E21/$E$99</f>
        <v>3.3333333333333333E-2</v>
      </c>
      <c r="G21" s="28" t="s">
        <v>60</v>
      </c>
    </row>
    <row r="22" spans="1:7" ht="39.75" customHeight="1" x14ac:dyDescent="0.3">
      <c r="A22" s="26" t="s">
        <v>61</v>
      </c>
      <c r="B22" s="27" t="s">
        <v>62</v>
      </c>
      <c r="C22" s="28" t="s">
        <v>63</v>
      </c>
      <c r="D22" s="15" t="s">
        <v>13</v>
      </c>
      <c r="E22" s="29">
        <v>10000</v>
      </c>
      <c r="F22" s="30">
        <f>E22/$E$99</f>
        <v>2.2222222222222223E-2</v>
      </c>
      <c r="G22" s="28" t="s">
        <v>64</v>
      </c>
    </row>
    <row r="23" spans="1:7" ht="39.75" customHeight="1" x14ac:dyDescent="0.3">
      <c r="A23" s="26" t="s">
        <v>65</v>
      </c>
      <c r="B23" s="27" t="s">
        <v>66</v>
      </c>
      <c r="C23" s="28" t="s">
        <v>67</v>
      </c>
      <c r="D23" s="15" t="s">
        <v>13</v>
      </c>
      <c r="E23" s="29">
        <v>6000</v>
      </c>
      <c r="F23" s="30">
        <f>E23/$E$99</f>
        <v>1.3333333333333334E-2</v>
      </c>
      <c r="G23" s="28" t="s">
        <v>68</v>
      </c>
    </row>
    <row r="24" spans="1:7" ht="19.5" customHeight="1" x14ac:dyDescent="0.3">
      <c r="A24" s="7" t="s">
        <v>69</v>
      </c>
      <c r="B24" s="7"/>
      <c r="C24" s="7"/>
      <c r="D24" s="7"/>
      <c r="E24" s="18">
        <f>SUM(E21:E23)</f>
        <v>31000</v>
      </c>
      <c r="F24" s="19">
        <f>E24/$E$99</f>
        <v>6.8888888888888888E-2</v>
      </c>
      <c r="G24" s="20"/>
    </row>
    <row r="25" spans="1:7" ht="18" customHeight="1" x14ac:dyDescent="0.3">
      <c r="A25" s="8" t="s">
        <v>70</v>
      </c>
      <c r="B25" s="8"/>
      <c r="C25" s="8"/>
      <c r="D25" s="8"/>
      <c r="E25" s="8"/>
      <c r="F25" s="8"/>
      <c r="G25" s="8"/>
    </row>
    <row r="26" spans="1:7" ht="39.75" customHeight="1" x14ac:dyDescent="0.3">
      <c r="A26" s="21" t="s">
        <v>71</v>
      </c>
      <c r="B26" s="22" t="s">
        <v>72</v>
      </c>
      <c r="C26" s="23" t="s">
        <v>73</v>
      </c>
      <c r="D26" s="31" t="s">
        <v>74</v>
      </c>
      <c r="E26" s="24">
        <v>0</v>
      </c>
      <c r="F26" s="25">
        <f>E26/$E$99</f>
        <v>0</v>
      </c>
      <c r="G26" s="23" t="s">
        <v>75</v>
      </c>
    </row>
    <row r="27" spans="1:7" ht="39.75" customHeight="1" x14ac:dyDescent="0.3">
      <c r="A27" s="21" t="s">
        <v>76</v>
      </c>
      <c r="B27" s="22" t="s">
        <v>77</v>
      </c>
      <c r="C27" s="23" t="s">
        <v>78</v>
      </c>
      <c r="D27" s="31" t="s">
        <v>74</v>
      </c>
      <c r="E27" s="24">
        <v>0</v>
      </c>
      <c r="F27" s="25">
        <f>E27/$E$99</f>
        <v>0</v>
      </c>
      <c r="G27" s="23" t="s">
        <v>79</v>
      </c>
    </row>
    <row r="28" spans="1:7" ht="19.5" customHeight="1" x14ac:dyDescent="0.3">
      <c r="A28" s="6" t="s">
        <v>80</v>
      </c>
      <c r="B28" s="6"/>
      <c r="C28" s="6"/>
      <c r="D28" s="6"/>
      <c r="E28" s="32">
        <f>SUM(E26:E27)</f>
        <v>0</v>
      </c>
      <c r="F28" s="33">
        <f>E28/$E$99</f>
        <v>0</v>
      </c>
      <c r="G28" s="34"/>
    </row>
    <row r="29" spans="1:7" ht="18" customHeight="1" x14ac:dyDescent="0.3">
      <c r="A29" s="8" t="s">
        <v>81</v>
      </c>
      <c r="B29" s="8"/>
      <c r="C29" s="8"/>
      <c r="D29" s="8"/>
      <c r="E29" s="8"/>
      <c r="F29" s="8"/>
      <c r="G29" s="8"/>
    </row>
    <row r="30" spans="1:7" ht="39.75" customHeight="1" x14ac:dyDescent="0.3">
      <c r="A30" s="26" t="s">
        <v>82</v>
      </c>
      <c r="B30" s="27" t="s">
        <v>83</v>
      </c>
      <c r="C30" s="28" t="s">
        <v>84</v>
      </c>
      <c r="D30" s="35" t="s">
        <v>85</v>
      </c>
      <c r="E30" s="29">
        <v>9000</v>
      </c>
      <c r="F30" s="30">
        <f>E30/$E$99</f>
        <v>0.02</v>
      </c>
      <c r="G30" s="28" t="s">
        <v>86</v>
      </c>
    </row>
    <row r="31" spans="1:7" ht="39.75" customHeight="1" x14ac:dyDescent="0.3">
      <c r="A31" s="26" t="s">
        <v>87</v>
      </c>
      <c r="B31" s="27" t="s">
        <v>88</v>
      </c>
      <c r="C31" s="28" t="s">
        <v>89</v>
      </c>
      <c r="D31" s="35" t="s">
        <v>85</v>
      </c>
      <c r="E31" s="29">
        <v>8000</v>
      </c>
      <c r="F31" s="30">
        <f>E31/$E$99</f>
        <v>1.7777777777777778E-2</v>
      </c>
      <c r="G31" s="28" t="s">
        <v>90</v>
      </c>
    </row>
    <row r="32" spans="1:7" ht="39.75" customHeight="1" x14ac:dyDescent="0.3">
      <c r="A32" s="26" t="s">
        <v>91</v>
      </c>
      <c r="B32" s="27" t="s">
        <v>92</v>
      </c>
      <c r="C32" s="28" t="s">
        <v>93</v>
      </c>
      <c r="D32" s="35" t="s">
        <v>85</v>
      </c>
      <c r="E32" s="29">
        <v>5000</v>
      </c>
      <c r="F32" s="30">
        <f>E32/$E$99</f>
        <v>1.1111111111111112E-2</v>
      </c>
      <c r="G32" s="28" t="s">
        <v>94</v>
      </c>
    </row>
    <row r="33" spans="1:7" ht="19.5" customHeight="1" x14ac:dyDescent="0.3">
      <c r="A33" s="5" t="s">
        <v>95</v>
      </c>
      <c r="B33" s="5"/>
      <c r="C33" s="5"/>
      <c r="D33" s="5"/>
      <c r="E33" s="36">
        <f>SUM(E30:E32)</f>
        <v>22000</v>
      </c>
      <c r="F33" s="37">
        <f>E33/$E$99</f>
        <v>4.8888888888888891E-2</v>
      </c>
      <c r="G33" s="38"/>
    </row>
    <row r="35" spans="1:7" ht="30" customHeight="1" x14ac:dyDescent="0.3">
      <c r="A35" s="4" t="s">
        <v>96</v>
      </c>
      <c r="B35" s="4"/>
      <c r="C35" s="4"/>
      <c r="D35" s="4"/>
      <c r="E35" s="39">
        <f>E9+E14+E19+E24+E28+E33</f>
        <v>450000</v>
      </c>
      <c r="F35" s="40">
        <v>1</v>
      </c>
      <c r="G35" s="41" t="s">
        <v>97</v>
      </c>
    </row>
    <row r="37" spans="1:7" ht="48" customHeight="1" x14ac:dyDescent="0.3">
      <c r="A37" s="3" t="s">
        <v>98</v>
      </c>
      <c r="B37" s="3"/>
      <c r="C37" s="3"/>
      <c r="D37" s="3"/>
      <c r="E37" s="3"/>
      <c r="F37" s="3"/>
      <c r="G37" s="3"/>
    </row>
    <row r="99" spans="5:5" x14ac:dyDescent="0.3">
      <c r="E99" s="42">
        <f>E35</f>
        <v>450000</v>
      </c>
    </row>
  </sheetData>
  <mergeCells count="16">
    <mergeCell ref="A37:G37"/>
    <mergeCell ref="A25:G25"/>
    <mergeCell ref="A28:D28"/>
    <mergeCell ref="A29:G29"/>
    <mergeCell ref="A33:D33"/>
    <mergeCell ref="A35:D35"/>
    <mergeCell ref="A14:D14"/>
    <mergeCell ref="A15:G15"/>
    <mergeCell ref="A19:D19"/>
    <mergeCell ref="A20:G20"/>
    <mergeCell ref="A24:D24"/>
    <mergeCell ref="A1:G1"/>
    <mergeCell ref="A2:G2"/>
    <mergeCell ref="A4:G4"/>
    <mergeCell ref="A9:D9"/>
    <mergeCell ref="A10:G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38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baseColWidth="10" defaultColWidth="8.6640625" defaultRowHeight="14.4" x14ac:dyDescent="0.3"/>
  <cols>
    <col min="1" max="1" width="5" customWidth="1"/>
    <col min="2" max="2" width="40" customWidth="1"/>
    <col min="3" max="3" width="28" customWidth="1"/>
    <col min="4" max="5" width="13" customWidth="1"/>
    <col min="6" max="45" width="4.44140625" customWidth="1"/>
  </cols>
  <sheetData>
    <row r="1" spans="1:45" ht="33.75" customHeight="1" x14ac:dyDescent="0.3">
      <c r="A1" s="10" t="s">
        <v>99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</row>
    <row r="2" spans="1:45" ht="18" customHeight="1" x14ac:dyDescent="0.3">
      <c r="A2" s="9" t="s">
        <v>100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</row>
    <row r="3" spans="1:45" ht="27.75" customHeight="1" x14ac:dyDescent="0.3">
      <c r="A3" s="43" t="s">
        <v>101</v>
      </c>
      <c r="B3" s="43" t="s">
        <v>102</v>
      </c>
      <c r="C3" s="43" t="s">
        <v>103</v>
      </c>
      <c r="D3" s="43" t="s">
        <v>104</v>
      </c>
      <c r="E3" s="43" t="s">
        <v>105</v>
      </c>
      <c r="F3" s="44" t="s">
        <v>106</v>
      </c>
      <c r="G3" s="44" t="s">
        <v>107</v>
      </c>
      <c r="H3" s="44" t="s">
        <v>108</v>
      </c>
      <c r="I3" s="44" t="s">
        <v>109</v>
      </c>
      <c r="J3" s="44" t="s">
        <v>110</v>
      </c>
      <c r="K3" s="44" t="s">
        <v>111</v>
      </c>
      <c r="L3" s="44" t="s">
        <v>112</v>
      </c>
      <c r="M3" s="44" t="s">
        <v>113</v>
      </c>
      <c r="N3" s="44" t="s">
        <v>114</v>
      </c>
      <c r="O3" s="44" t="s">
        <v>115</v>
      </c>
      <c r="P3" s="44" t="s">
        <v>116</v>
      </c>
      <c r="Q3" s="44" t="s">
        <v>117</v>
      </c>
      <c r="R3" s="44" t="s">
        <v>118</v>
      </c>
      <c r="S3" s="44" t="s">
        <v>119</v>
      </c>
      <c r="T3" s="44" t="s">
        <v>120</v>
      </c>
      <c r="U3" s="44" t="s">
        <v>121</v>
      </c>
      <c r="V3" s="44" t="s">
        <v>122</v>
      </c>
      <c r="W3" s="44" t="s">
        <v>123</v>
      </c>
      <c r="X3" s="44" t="s">
        <v>124</v>
      </c>
      <c r="Y3" s="44" t="s">
        <v>125</v>
      </c>
      <c r="Z3" s="44" t="s">
        <v>126</v>
      </c>
      <c r="AA3" s="44" t="s">
        <v>127</v>
      </c>
      <c r="AB3" s="44" t="s">
        <v>128</v>
      </c>
      <c r="AC3" s="44" t="s">
        <v>129</v>
      </c>
      <c r="AD3" s="44" t="s">
        <v>130</v>
      </c>
      <c r="AE3" s="44" t="s">
        <v>131</v>
      </c>
      <c r="AF3" s="44" t="s">
        <v>132</v>
      </c>
      <c r="AG3" s="44" t="s">
        <v>133</v>
      </c>
      <c r="AH3" s="44" t="s">
        <v>134</v>
      </c>
      <c r="AI3" s="44" t="s">
        <v>135</v>
      </c>
      <c r="AJ3" s="44" t="s">
        <v>136</v>
      </c>
      <c r="AK3" s="44" t="s">
        <v>137</v>
      </c>
      <c r="AL3" s="44" t="s">
        <v>138</v>
      </c>
      <c r="AM3" s="44" t="s">
        <v>139</v>
      </c>
      <c r="AN3" s="44" t="s">
        <v>140</v>
      </c>
      <c r="AO3" s="44" t="s">
        <v>141</v>
      </c>
      <c r="AP3" s="44" t="s">
        <v>142</v>
      </c>
      <c r="AQ3" s="44" t="s">
        <v>143</v>
      </c>
      <c r="AR3" s="44" t="s">
        <v>144</v>
      </c>
      <c r="AS3" s="44" t="s">
        <v>145</v>
      </c>
    </row>
    <row r="4" spans="1:45" ht="19.5" customHeight="1" x14ac:dyDescent="0.3">
      <c r="A4" s="2" t="s">
        <v>146</v>
      </c>
      <c r="B4" s="2"/>
      <c r="C4" s="2"/>
      <c r="D4" s="2"/>
      <c r="E4" s="2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</row>
    <row r="5" spans="1:45" ht="39.75" customHeight="1" x14ac:dyDescent="0.3">
      <c r="A5" s="46" t="s">
        <v>147</v>
      </c>
      <c r="B5" s="47" t="s">
        <v>148</v>
      </c>
      <c r="C5" s="48" t="s">
        <v>149</v>
      </c>
      <c r="D5" s="46" t="s">
        <v>150</v>
      </c>
      <c r="E5" s="46" t="s">
        <v>151</v>
      </c>
      <c r="F5" s="49"/>
      <c r="G5" s="49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</row>
    <row r="6" spans="1:45" ht="39.75" customHeight="1" x14ac:dyDescent="0.3">
      <c r="A6" s="51" t="s">
        <v>152</v>
      </c>
      <c r="B6" s="52" t="s">
        <v>153</v>
      </c>
      <c r="C6" s="53" t="s">
        <v>154</v>
      </c>
      <c r="D6" s="51" t="s">
        <v>155</v>
      </c>
      <c r="E6" s="51" t="s">
        <v>156</v>
      </c>
      <c r="F6" s="50"/>
      <c r="G6" s="54"/>
      <c r="H6" s="54"/>
      <c r="I6" s="54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</row>
    <row r="7" spans="1:45" ht="39.75" customHeight="1" x14ac:dyDescent="0.3">
      <c r="A7" s="51" t="s">
        <v>157</v>
      </c>
      <c r="B7" s="52" t="s">
        <v>158</v>
      </c>
      <c r="C7" s="53" t="s">
        <v>159</v>
      </c>
      <c r="D7" s="51" t="s">
        <v>160</v>
      </c>
      <c r="E7" s="51" t="s">
        <v>161</v>
      </c>
      <c r="F7" s="50"/>
      <c r="G7" s="50"/>
      <c r="H7" s="54"/>
      <c r="I7" s="54"/>
      <c r="J7" s="54"/>
      <c r="K7" s="54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</row>
    <row r="8" spans="1:45" ht="39.75" customHeight="1" x14ac:dyDescent="0.3">
      <c r="A8" s="51" t="s">
        <v>162</v>
      </c>
      <c r="B8" s="52" t="s">
        <v>163</v>
      </c>
      <c r="C8" s="53" t="s">
        <v>164</v>
      </c>
      <c r="D8" s="51" t="s">
        <v>165</v>
      </c>
      <c r="E8" s="51" t="s">
        <v>166</v>
      </c>
      <c r="F8" s="50"/>
      <c r="G8" s="50"/>
      <c r="H8" s="50"/>
      <c r="I8" s="50"/>
      <c r="J8" s="54"/>
      <c r="K8" s="54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</row>
    <row r="9" spans="1:45" ht="39.75" customHeight="1" x14ac:dyDescent="0.3">
      <c r="A9" s="55" t="s">
        <v>167</v>
      </c>
      <c r="B9" s="56" t="s">
        <v>168</v>
      </c>
      <c r="C9" s="57" t="s">
        <v>169</v>
      </c>
      <c r="D9" s="58" t="s">
        <v>166</v>
      </c>
      <c r="E9" s="58" t="s">
        <v>166</v>
      </c>
      <c r="F9" s="50"/>
      <c r="G9" s="50"/>
      <c r="H9" s="50"/>
      <c r="I9" s="50"/>
      <c r="J9" s="50"/>
      <c r="K9" s="59" t="s">
        <v>170</v>
      </c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</row>
    <row r="10" spans="1:45" ht="19.5" customHeight="1" x14ac:dyDescent="0.3">
      <c r="A10" s="2" t="s">
        <v>171</v>
      </c>
      <c r="B10" s="2"/>
      <c r="C10" s="2"/>
      <c r="D10" s="2"/>
      <c r="E10" s="2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</row>
    <row r="11" spans="1:45" ht="39.75" customHeight="1" x14ac:dyDescent="0.3">
      <c r="A11" s="46" t="s">
        <v>172</v>
      </c>
      <c r="B11" s="47" t="s">
        <v>173</v>
      </c>
      <c r="C11" s="48" t="s">
        <v>174</v>
      </c>
      <c r="D11" s="46" t="s">
        <v>175</v>
      </c>
      <c r="E11" s="46" t="s">
        <v>176</v>
      </c>
      <c r="F11" s="50"/>
      <c r="G11" s="50"/>
      <c r="H11" s="50"/>
      <c r="I11" s="50"/>
      <c r="J11" s="50"/>
      <c r="K11" s="50"/>
      <c r="L11" s="49"/>
      <c r="M11" s="49"/>
      <c r="N11" s="49"/>
      <c r="O11" s="49"/>
      <c r="P11" s="49"/>
      <c r="Q11" s="49"/>
      <c r="R11" s="49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</row>
    <row r="12" spans="1:45" ht="39.75" customHeight="1" x14ac:dyDescent="0.3">
      <c r="A12" s="46" t="s">
        <v>177</v>
      </c>
      <c r="B12" s="47" t="s">
        <v>178</v>
      </c>
      <c r="C12" s="48" t="s">
        <v>174</v>
      </c>
      <c r="D12" s="46" t="s">
        <v>179</v>
      </c>
      <c r="E12" s="46" t="s">
        <v>180</v>
      </c>
      <c r="F12" s="50"/>
      <c r="G12" s="50"/>
      <c r="H12" s="50"/>
      <c r="I12" s="50"/>
      <c r="J12" s="50"/>
      <c r="K12" s="50"/>
      <c r="L12" s="50"/>
      <c r="M12" s="50"/>
      <c r="N12" s="49"/>
      <c r="O12" s="49"/>
      <c r="P12" s="49"/>
      <c r="Q12" s="49"/>
      <c r="R12" s="49"/>
      <c r="S12" s="49"/>
      <c r="T12" s="49"/>
      <c r="U12" s="49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</row>
    <row r="13" spans="1:45" ht="39.75" customHeight="1" x14ac:dyDescent="0.3">
      <c r="A13" s="46" t="s">
        <v>181</v>
      </c>
      <c r="B13" s="47" t="s">
        <v>182</v>
      </c>
      <c r="C13" s="48" t="s">
        <v>174</v>
      </c>
      <c r="D13" s="46" t="s">
        <v>183</v>
      </c>
      <c r="E13" s="46" t="s">
        <v>184</v>
      </c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49"/>
      <c r="T13" s="49"/>
      <c r="U13" s="49"/>
      <c r="V13" s="49"/>
      <c r="W13" s="49"/>
      <c r="X13" s="49"/>
      <c r="Y13" s="49"/>
      <c r="Z13" s="49"/>
      <c r="AA13" s="49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</row>
    <row r="14" spans="1:45" ht="39.75" customHeight="1" x14ac:dyDescent="0.3">
      <c r="A14" s="46" t="s">
        <v>185</v>
      </c>
      <c r="B14" s="47" t="s">
        <v>186</v>
      </c>
      <c r="C14" s="48" t="s">
        <v>187</v>
      </c>
      <c r="D14" s="46" t="s">
        <v>175</v>
      </c>
      <c r="E14" s="46" t="s">
        <v>188</v>
      </c>
      <c r="F14" s="50"/>
      <c r="G14" s="50"/>
      <c r="H14" s="50"/>
      <c r="I14" s="50"/>
      <c r="J14" s="50"/>
      <c r="K14" s="50"/>
      <c r="L14" s="49"/>
      <c r="M14" s="49"/>
      <c r="N14" s="49"/>
      <c r="O14" s="49"/>
      <c r="P14" s="49"/>
      <c r="Q14" s="49"/>
      <c r="R14" s="49"/>
      <c r="S14" s="49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</row>
    <row r="15" spans="1:45" ht="39.75" customHeight="1" x14ac:dyDescent="0.3">
      <c r="A15" s="51" t="s">
        <v>189</v>
      </c>
      <c r="B15" s="52" t="s">
        <v>190</v>
      </c>
      <c r="C15" s="53" t="s">
        <v>187</v>
      </c>
      <c r="D15" s="51" t="s">
        <v>191</v>
      </c>
      <c r="E15" s="51" t="s">
        <v>192</v>
      </c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4"/>
      <c r="Q15" s="54"/>
      <c r="R15" s="54"/>
      <c r="S15" s="54"/>
      <c r="T15" s="54"/>
      <c r="U15" s="54"/>
      <c r="V15" s="54"/>
      <c r="W15" s="54"/>
      <c r="X15" s="54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</row>
    <row r="16" spans="1:45" ht="39.75" customHeight="1" x14ac:dyDescent="0.3">
      <c r="A16" s="46" t="s">
        <v>193</v>
      </c>
      <c r="B16" s="47" t="s">
        <v>194</v>
      </c>
      <c r="C16" s="48" t="s">
        <v>187</v>
      </c>
      <c r="D16" s="46" t="s">
        <v>195</v>
      </c>
      <c r="E16" s="46" t="s">
        <v>184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49"/>
      <c r="V16" s="49"/>
      <c r="W16" s="49"/>
      <c r="X16" s="49"/>
      <c r="Y16" s="49"/>
      <c r="Z16" s="49"/>
      <c r="AA16" s="49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</row>
    <row r="17" spans="1:45" ht="39.75" customHeight="1" x14ac:dyDescent="0.3">
      <c r="A17" s="51" t="s">
        <v>196</v>
      </c>
      <c r="B17" s="52" t="s">
        <v>197</v>
      </c>
      <c r="C17" s="53" t="s">
        <v>198</v>
      </c>
      <c r="D17" s="51" t="s">
        <v>175</v>
      </c>
      <c r="E17" s="51" t="s">
        <v>176</v>
      </c>
      <c r="F17" s="50"/>
      <c r="G17" s="50"/>
      <c r="H17" s="50"/>
      <c r="I17" s="50"/>
      <c r="J17" s="50"/>
      <c r="K17" s="50"/>
      <c r="L17" s="54"/>
      <c r="M17" s="54"/>
      <c r="N17" s="54"/>
      <c r="O17" s="54"/>
      <c r="P17" s="54"/>
      <c r="Q17" s="54"/>
      <c r="R17" s="54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</row>
    <row r="18" spans="1:45" ht="39.75" customHeight="1" x14ac:dyDescent="0.3">
      <c r="A18" s="51" t="s">
        <v>199</v>
      </c>
      <c r="B18" s="52" t="s">
        <v>200</v>
      </c>
      <c r="C18" s="53" t="s">
        <v>198</v>
      </c>
      <c r="D18" s="51" t="s">
        <v>191</v>
      </c>
      <c r="E18" s="51" t="s">
        <v>201</v>
      </c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4"/>
      <c r="Q18" s="54"/>
      <c r="R18" s="54"/>
      <c r="S18" s="54"/>
      <c r="T18" s="54"/>
      <c r="U18" s="54"/>
      <c r="V18" s="54"/>
      <c r="W18" s="54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</row>
    <row r="19" spans="1:45" ht="39.75" customHeight="1" x14ac:dyDescent="0.3">
      <c r="A19" s="51" t="s">
        <v>202</v>
      </c>
      <c r="B19" s="52" t="s">
        <v>203</v>
      </c>
      <c r="C19" s="53" t="s">
        <v>198</v>
      </c>
      <c r="D19" s="51" t="s">
        <v>204</v>
      </c>
      <c r="E19" s="51" t="s">
        <v>184</v>
      </c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4"/>
      <c r="W19" s="54"/>
      <c r="X19" s="54"/>
      <c r="Y19" s="54"/>
      <c r="Z19" s="54"/>
      <c r="AA19" s="54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</row>
    <row r="20" spans="1:45" ht="39.75" customHeight="1" x14ac:dyDescent="0.3">
      <c r="A20" s="51" t="s">
        <v>205</v>
      </c>
      <c r="B20" s="52" t="s">
        <v>206</v>
      </c>
      <c r="C20" s="53" t="s">
        <v>198</v>
      </c>
      <c r="D20" s="51" t="s">
        <v>207</v>
      </c>
      <c r="E20" s="51" t="s">
        <v>184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4"/>
      <c r="Y20" s="54"/>
      <c r="Z20" s="54"/>
      <c r="AA20" s="54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</row>
    <row r="21" spans="1:45" ht="39.75" customHeight="1" x14ac:dyDescent="0.3">
      <c r="A21" s="55" t="s">
        <v>208</v>
      </c>
      <c r="B21" s="56" t="s">
        <v>209</v>
      </c>
      <c r="C21" s="57" t="s">
        <v>169</v>
      </c>
      <c r="D21" s="58" t="s">
        <v>210</v>
      </c>
      <c r="E21" s="58" t="s">
        <v>210</v>
      </c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9" t="s">
        <v>170</v>
      </c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</row>
    <row r="22" spans="1:45" ht="19.5" customHeight="1" x14ac:dyDescent="0.3">
      <c r="A22" s="2" t="s">
        <v>211</v>
      </c>
      <c r="B22" s="2"/>
      <c r="C22" s="2"/>
      <c r="D22" s="2"/>
      <c r="E22" s="2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</row>
    <row r="23" spans="1:45" ht="39.75" customHeight="1" x14ac:dyDescent="0.3">
      <c r="A23" s="46" t="s">
        <v>212</v>
      </c>
      <c r="B23" s="47" t="s">
        <v>44</v>
      </c>
      <c r="C23" s="48" t="s">
        <v>213</v>
      </c>
      <c r="D23" s="46" t="s">
        <v>214</v>
      </c>
      <c r="E23" s="46" t="s">
        <v>215</v>
      </c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49"/>
      <c r="AC23" s="49"/>
      <c r="AD23" s="49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</row>
    <row r="24" spans="1:45" ht="39.75" customHeight="1" x14ac:dyDescent="0.3">
      <c r="A24" s="46" t="s">
        <v>216</v>
      </c>
      <c r="B24" s="47" t="s">
        <v>217</v>
      </c>
      <c r="C24" s="48" t="s">
        <v>187</v>
      </c>
      <c r="D24" s="46" t="s">
        <v>214</v>
      </c>
      <c r="E24" s="46" t="s">
        <v>218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49"/>
      <c r="AC24" s="49"/>
      <c r="AD24" s="49"/>
      <c r="AE24" s="49"/>
      <c r="AF24" s="49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</row>
    <row r="25" spans="1:45" ht="39.75" customHeight="1" x14ac:dyDescent="0.3">
      <c r="A25" s="51" t="s">
        <v>219</v>
      </c>
      <c r="B25" s="52" t="s">
        <v>220</v>
      </c>
      <c r="C25" s="53" t="s">
        <v>221</v>
      </c>
      <c r="D25" s="51" t="s">
        <v>222</v>
      </c>
      <c r="E25" s="51" t="s">
        <v>223</v>
      </c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4"/>
      <c r="AD25" s="54"/>
      <c r="AE25" s="54"/>
      <c r="AF25" s="54"/>
      <c r="AG25" s="54"/>
      <c r="AH25" s="54"/>
      <c r="AI25" s="54"/>
      <c r="AJ25" s="50"/>
      <c r="AK25" s="50"/>
      <c r="AL25" s="50"/>
      <c r="AM25" s="50"/>
      <c r="AN25" s="50"/>
      <c r="AO25" s="50"/>
      <c r="AP25" s="50"/>
      <c r="AQ25" s="50"/>
      <c r="AR25" s="50"/>
      <c r="AS25" s="50"/>
    </row>
    <row r="26" spans="1:45" ht="39.75" customHeight="1" x14ac:dyDescent="0.3">
      <c r="A26" s="51" t="s">
        <v>224</v>
      </c>
      <c r="B26" s="52" t="s">
        <v>225</v>
      </c>
      <c r="C26" s="53" t="s">
        <v>226</v>
      </c>
      <c r="D26" s="51" t="s">
        <v>227</v>
      </c>
      <c r="E26" s="51" t="s">
        <v>228</v>
      </c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4"/>
      <c r="AI26" s="54"/>
      <c r="AJ26" s="54"/>
      <c r="AK26" s="54"/>
      <c r="AL26" s="50"/>
      <c r="AM26" s="50"/>
      <c r="AN26" s="50"/>
      <c r="AO26" s="50"/>
      <c r="AP26" s="50"/>
      <c r="AQ26" s="50"/>
      <c r="AR26" s="50"/>
      <c r="AS26" s="50"/>
    </row>
    <row r="27" spans="1:45" ht="39.75" customHeight="1" x14ac:dyDescent="0.3">
      <c r="A27" s="55" t="s">
        <v>229</v>
      </c>
      <c r="B27" s="56" t="s">
        <v>230</v>
      </c>
      <c r="C27" s="57" t="s">
        <v>169</v>
      </c>
      <c r="D27" s="58" t="s">
        <v>228</v>
      </c>
      <c r="E27" s="58" t="s">
        <v>228</v>
      </c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9" t="s">
        <v>170</v>
      </c>
      <c r="AL27" s="50"/>
      <c r="AM27" s="50"/>
      <c r="AN27" s="50"/>
      <c r="AO27" s="50"/>
      <c r="AP27" s="50"/>
      <c r="AQ27" s="50"/>
      <c r="AR27" s="50"/>
      <c r="AS27" s="50"/>
    </row>
    <row r="28" spans="1:45" ht="19.5" customHeight="1" x14ac:dyDescent="0.3">
      <c r="A28" s="2" t="s">
        <v>231</v>
      </c>
      <c r="B28" s="2"/>
      <c r="C28" s="2"/>
      <c r="D28" s="2"/>
      <c r="E28" s="2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</row>
    <row r="29" spans="1:45" ht="39.75" customHeight="1" x14ac:dyDescent="0.3">
      <c r="A29" s="46" t="s">
        <v>232</v>
      </c>
      <c r="B29" s="47" t="s">
        <v>233</v>
      </c>
      <c r="C29" s="48" t="s">
        <v>164</v>
      </c>
      <c r="D29" s="46" t="s">
        <v>234</v>
      </c>
      <c r="E29" s="46" t="s">
        <v>235</v>
      </c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49"/>
      <c r="AM29" s="49"/>
      <c r="AN29" s="49"/>
      <c r="AO29" s="50"/>
      <c r="AP29" s="50"/>
      <c r="AQ29" s="50"/>
      <c r="AR29" s="50"/>
      <c r="AS29" s="50"/>
    </row>
    <row r="30" spans="1:45" ht="39.75" customHeight="1" x14ac:dyDescent="0.3">
      <c r="A30" s="51" t="s">
        <v>236</v>
      </c>
      <c r="B30" s="52" t="s">
        <v>237</v>
      </c>
      <c r="C30" s="53" t="s">
        <v>164</v>
      </c>
      <c r="D30" s="51" t="s">
        <v>238</v>
      </c>
      <c r="E30" s="51" t="s">
        <v>239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4"/>
      <c r="AN30" s="54"/>
      <c r="AO30" s="54"/>
      <c r="AP30" s="54"/>
      <c r="AQ30" s="50"/>
      <c r="AR30" s="50"/>
      <c r="AS30" s="50"/>
    </row>
    <row r="31" spans="1:45" ht="39.75" customHeight="1" x14ac:dyDescent="0.3">
      <c r="A31" s="51" t="s">
        <v>240</v>
      </c>
      <c r="B31" s="52" t="s">
        <v>241</v>
      </c>
      <c r="C31" s="53" t="s">
        <v>169</v>
      </c>
      <c r="D31" s="51" t="s">
        <v>242</v>
      </c>
      <c r="E31" s="51" t="s">
        <v>243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4"/>
      <c r="AP31" s="54"/>
      <c r="AQ31" s="54"/>
      <c r="AR31" s="54"/>
      <c r="AS31" s="50"/>
    </row>
    <row r="32" spans="1:45" ht="39.75" customHeight="1" x14ac:dyDescent="0.3">
      <c r="A32" s="55" t="s">
        <v>244</v>
      </c>
      <c r="B32" s="56" t="s">
        <v>245</v>
      </c>
      <c r="C32" s="57" t="s">
        <v>169</v>
      </c>
      <c r="D32" s="58" t="s">
        <v>243</v>
      </c>
      <c r="E32" s="58" t="s">
        <v>243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9" t="s">
        <v>170</v>
      </c>
      <c r="AS32" s="50"/>
    </row>
    <row r="34" spans="1:5" x14ac:dyDescent="0.3">
      <c r="A34" s="1" t="s">
        <v>246</v>
      </c>
      <c r="B34" s="1"/>
      <c r="C34" s="1"/>
      <c r="D34" s="1"/>
      <c r="E34" s="1"/>
    </row>
    <row r="35" spans="1:5" ht="15.75" customHeight="1" x14ac:dyDescent="0.3">
      <c r="B35" s="60" t="s">
        <v>247</v>
      </c>
    </row>
    <row r="36" spans="1:5" ht="15.75" customHeight="1" x14ac:dyDescent="0.3">
      <c r="B36" s="61" t="s">
        <v>248</v>
      </c>
    </row>
    <row r="37" spans="1:5" ht="15.75" customHeight="1" x14ac:dyDescent="0.3">
      <c r="B37" s="62" t="s">
        <v>249</v>
      </c>
    </row>
    <row r="38" spans="1:5" ht="15.75" customHeight="1" x14ac:dyDescent="0.3">
      <c r="B38" s="63" t="s">
        <v>250</v>
      </c>
    </row>
  </sheetData>
  <mergeCells count="7">
    <mergeCell ref="A28:E28"/>
    <mergeCell ref="A34:E34"/>
    <mergeCell ref="A1:AS1"/>
    <mergeCell ref="A2:AS2"/>
    <mergeCell ref="A4:E4"/>
    <mergeCell ref="A10:E10"/>
    <mergeCell ref="A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4.4" x14ac:dyDescent="0.3"/>
  <cols>
    <col min="1" max="1" width="8" customWidth="1"/>
    <col min="2" max="2" width="40" customWidth="1"/>
    <col min="3" max="3" width="14" customWidth="1"/>
    <col min="4" max="4" width="20" customWidth="1"/>
    <col min="5" max="7" width="14" customWidth="1"/>
    <col min="8" max="8" width="32" customWidth="1"/>
  </cols>
  <sheetData>
    <row r="1" spans="1:8" ht="33.75" customHeight="1" x14ac:dyDescent="0.3">
      <c r="A1" s="10" t="s">
        <v>251</v>
      </c>
      <c r="B1" s="10"/>
      <c r="C1" s="10"/>
      <c r="D1" s="10"/>
      <c r="E1" s="10"/>
      <c r="F1" s="10"/>
      <c r="G1" s="10"/>
      <c r="H1" s="10"/>
    </row>
    <row r="2" spans="1:8" ht="18" customHeight="1" x14ac:dyDescent="0.3">
      <c r="A2" s="9" t="s">
        <v>252</v>
      </c>
      <c r="B2" s="9"/>
      <c r="C2" s="9"/>
      <c r="D2" s="9"/>
      <c r="E2" s="9"/>
      <c r="F2" s="9"/>
      <c r="G2" s="9"/>
      <c r="H2" s="9"/>
    </row>
    <row r="3" spans="1:8" ht="21.75" customHeight="1" x14ac:dyDescent="0.3">
      <c r="A3" s="11" t="s">
        <v>253</v>
      </c>
      <c r="B3" s="11" t="s">
        <v>254</v>
      </c>
      <c r="C3" s="11" t="s">
        <v>255</v>
      </c>
      <c r="D3" s="11" t="s">
        <v>256</v>
      </c>
      <c r="E3" s="11" t="s">
        <v>257</v>
      </c>
      <c r="F3" s="11" t="s">
        <v>6</v>
      </c>
      <c r="G3" s="11" t="s">
        <v>258</v>
      </c>
      <c r="H3" s="11" t="s">
        <v>259</v>
      </c>
    </row>
    <row r="4" spans="1:8" ht="54.75" customHeight="1" x14ac:dyDescent="0.3">
      <c r="A4" s="12" t="s">
        <v>167</v>
      </c>
      <c r="B4" s="13" t="s">
        <v>260</v>
      </c>
      <c r="C4" s="64" t="s">
        <v>166</v>
      </c>
      <c r="D4" s="64" t="s">
        <v>261</v>
      </c>
      <c r="E4" s="65" t="s">
        <v>262</v>
      </c>
      <c r="F4" s="66">
        <v>90000</v>
      </c>
      <c r="G4" s="67">
        <v>90000</v>
      </c>
      <c r="H4" s="14" t="s">
        <v>263</v>
      </c>
    </row>
    <row r="5" spans="1:8" ht="54.75" customHeight="1" x14ac:dyDescent="0.3">
      <c r="A5" s="68" t="s">
        <v>208</v>
      </c>
      <c r="B5" s="69" t="s">
        <v>264</v>
      </c>
      <c r="C5" s="70" t="s">
        <v>210</v>
      </c>
      <c r="D5" s="70" t="s">
        <v>265</v>
      </c>
      <c r="E5" s="71" t="s">
        <v>266</v>
      </c>
      <c r="F5" s="72">
        <v>157500</v>
      </c>
      <c r="G5" s="73">
        <v>247500</v>
      </c>
      <c r="H5" s="74" t="s">
        <v>267</v>
      </c>
    </row>
    <row r="6" spans="1:8" ht="54.75" customHeight="1" x14ac:dyDescent="0.3">
      <c r="A6" s="21" t="s">
        <v>229</v>
      </c>
      <c r="B6" s="22" t="s">
        <v>268</v>
      </c>
      <c r="C6" s="75" t="s">
        <v>228</v>
      </c>
      <c r="D6" s="75" t="s">
        <v>269</v>
      </c>
      <c r="E6" s="76" t="s">
        <v>270</v>
      </c>
      <c r="F6" s="77">
        <v>112500</v>
      </c>
      <c r="G6" s="78">
        <v>360000</v>
      </c>
      <c r="H6" s="23" t="s">
        <v>271</v>
      </c>
    </row>
    <row r="7" spans="1:8" ht="54.75" customHeight="1" x14ac:dyDescent="0.3">
      <c r="A7" s="26" t="s">
        <v>244</v>
      </c>
      <c r="B7" s="27" t="s">
        <v>272</v>
      </c>
      <c r="C7" s="79" t="s">
        <v>243</v>
      </c>
      <c r="D7" s="79" t="s">
        <v>273</v>
      </c>
      <c r="E7" s="80" t="s">
        <v>262</v>
      </c>
      <c r="F7" s="81">
        <v>90000</v>
      </c>
      <c r="G7" s="82">
        <v>450000</v>
      </c>
      <c r="H7" s="28" t="s">
        <v>274</v>
      </c>
    </row>
    <row r="8" spans="1:8" ht="25.5" customHeight="1" x14ac:dyDescent="0.3">
      <c r="A8" s="4" t="s">
        <v>275</v>
      </c>
      <c r="B8" s="4"/>
      <c r="C8" s="4"/>
      <c r="D8" s="4"/>
      <c r="E8" s="4"/>
      <c r="F8" s="83">
        <v>450000</v>
      </c>
      <c r="G8" s="83">
        <v>450000</v>
      </c>
      <c r="H8" s="84"/>
    </row>
  </sheetData>
  <mergeCells count="3">
    <mergeCell ref="A1:H1"/>
    <mergeCell ref="A2:H2"/>
    <mergeCell ref="A8:E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"/>
  <sheetViews>
    <sheetView showGridLines="0" tabSelected="1" topLeftCell="A8" zoomScale="62" zoomScaleNormal="62" workbookViewId="0">
      <selection activeCell="Q24" sqref="Q24"/>
    </sheetView>
  </sheetViews>
  <sheetFormatPr baseColWidth="10" defaultColWidth="8.6640625" defaultRowHeight="14.4" x14ac:dyDescent="0.3"/>
  <sheetData>
    <row r="1" spans="1:20" ht="33.75" customHeight="1" x14ac:dyDescent="0.3">
      <c r="A1" s="10" t="s">
        <v>276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3" spans="1:20" x14ac:dyDescent="0.3">
      <c r="P3" t="s">
        <v>277</v>
      </c>
      <c r="Q3" t="s">
        <v>6</v>
      </c>
      <c r="S3" t="s">
        <v>253</v>
      </c>
      <c r="T3" t="s">
        <v>258</v>
      </c>
    </row>
    <row r="4" spans="1:20" x14ac:dyDescent="0.3">
      <c r="P4" t="s">
        <v>278</v>
      </c>
      <c r="Q4">
        <v>300000</v>
      </c>
      <c r="S4" t="s">
        <v>279</v>
      </c>
      <c r="T4">
        <v>90000</v>
      </c>
    </row>
    <row r="5" spans="1:20" x14ac:dyDescent="0.3">
      <c r="P5" t="s">
        <v>280</v>
      </c>
      <c r="Q5">
        <v>53000</v>
      </c>
      <c r="S5" t="s">
        <v>281</v>
      </c>
      <c r="T5">
        <v>247500</v>
      </c>
    </row>
    <row r="6" spans="1:20" x14ac:dyDescent="0.3">
      <c r="P6" t="s">
        <v>282</v>
      </c>
      <c r="Q6">
        <v>44000</v>
      </c>
      <c r="S6" t="s">
        <v>283</v>
      </c>
      <c r="T6">
        <v>360000</v>
      </c>
    </row>
    <row r="7" spans="1:20" x14ac:dyDescent="0.3">
      <c r="P7" t="s">
        <v>284</v>
      </c>
      <c r="Q7">
        <v>31000</v>
      </c>
      <c r="S7" t="s">
        <v>285</v>
      </c>
      <c r="T7">
        <v>450000</v>
      </c>
    </row>
    <row r="8" spans="1:20" x14ac:dyDescent="0.3">
      <c r="P8" t="s">
        <v>85</v>
      </c>
      <c r="Q8">
        <v>22000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</vt:lpstr>
      <vt:lpstr>Cronograma Gantt</vt:lpstr>
      <vt:lpstr>Cronograma Financiero</vt:lpstr>
      <vt:lpstr>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1</cp:revision>
  <dcterms:created xsi:type="dcterms:W3CDTF">2026-04-13T15:10:45Z</dcterms:created>
  <dcterms:modified xsi:type="dcterms:W3CDTF">2026-04-13T15:12:54Z</dcterms:modified>
  <dc:language>en-US</dc:language>
</cp:coreProperties>
</file>